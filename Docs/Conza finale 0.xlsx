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3"/>
  <workbookPr/>
  <mc:AlternateContent xmlns:mc="http://schemas.openxmlformats.org/markup-compatibility/2006">
    <mc:Choice Requires="x15">
      <x15ac:absPath xmlns:x15ac="http://schemas.microsoft.com/office/spreadsheetml/2010/11/ac" url="/Users/paolopalmiero/Documents/Lavoro/Invasi/Docs/"/>
    </mc:Choice>
  </mc:AlternateContent>
  <xr:revisionPtr revIDLastSave="0" documentId="13_ncr:1_{F1BCC7A4-3D14-6445-84AA-802912A3D129}" xr6:coauthVersionLast="47" xr6:coauthVersionMax="47" xr10:uidLastSave="{00000000-0000-0000-0000-000000000000}"/>
  <bookViews>
    <workbookView xWindow="28800" yWindow="500" windowWidth="23600" windowHeight="15900" xr2:uid="{00000000-000D-0000-FFFF-FFFF00000000}"/>
  </bookViews>
  <sheets>
    <sheet name="Foglio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Z29" i="1" l="1"/>
  <c r="Y29" i="1"/>
  <c r="AA29" i="1"/>
  <c r="W41" i="1"/>
  <c r="D21" i="1"/>
  <c r="D18" i="1"/>
  <c r="D14" i="1"/>
  <c r="W29" i="1"/>
  <c r="K46" i="1"/>
  <c r="J46" i="1"/>
  <c r="G46" i="1"/>
  <c r="V29" i="1"/>
  <c r="D10" i="1"/>
  <c r="U29" i="1"/>
  <c r="P29" i="1"/>
  <c r="N29" i="1"/>
  <c r="L29" i="1"/>
  <c r="J29" i="1"/>
  <c r="F29" i="1"/>
  <c r="D29" i="1"/>
  <c r="S10" i="1"/>
  <c r="S11" i="1" s="1"/>
  <c r="S12" i="1" s="1"/>
  <c r="S13" i="1" s="1"/>
  <c r="S14" i="1" s="1"/>
  <c r="S15" i="1" s="1"/>
  <c r="S16" i="1" s="1"/>
  <c r="S17" i="1" s="1"/>
  <c r="S18" i="1" s="1"/>
  <c r="S19" i="1" s="1"/>
  <c r="S20" i="1" s="1"/>
  <c r="S21" i="1" s="1"/>
  <c r="S29" i="1"/>
  <c r="S30" i="1"/>
  <c r="S31" i="1" s="1"/>
  <c r="S32" i="1" s="1"/>
  <c r="S33" i="1" s="1"/>
  <c r="S34" i="1" s="1"/>
  <c r="S35" i="1" s="1"/>
  <c r="S36" i="1" s="1"/>
  <c r="S37" i="1" s="1"/>
  <c r="S38" i="1" s="1"/>
  <c r="S39" i="1" s="1"/>
  <c r="S40" i="1" s="1"/>
  <c r="S103" i="1"/>
  <c r="S104" i="1" s="1"/>
  <c r="S105" i="1" s="1"/>
  <c r="S106" i="1" s="1"/>
  <c r="S107" i="1" s="1"/>
  <c r="S108" i="1" s="1"/>
  <c r="S109" i="1" s="1"/>
  <c r="S110" i="1" s="1"/>
  <c r="S111" i="1" s="1"/>
  <c r="S112" i="1" s="1"/>
  <c r="S113" i="1" s="1"/>
  <c r="S114" i="1" s="1"/>
  <c r="G104" i="1"/>
  <c r="G105" i="1"/>
  <c r="G106" i="1"/>
  <c r="G107" i="1"/>
  <c r="G108" i="1"/>
  <c r="G109" i="1"/>
  <c r="G110" i="1"/>
  <c r="G111" i="1"/>
  <c r="G112" i="1"/>
  <c r="G113" i="1"/>
  <c r="G114" i="1"/>
  <c r="N114" i="1"/>
  <c r="J114" i="1"/>
  <c r="N113" i="1"/>
  <c r="J113" i="1"/>
  <c r="N112" i="1"/>
  <c r="J112" i="1"/>
  <c r="N111" i="1"/>
  <c r="J111" i="1"/>
  <c r="N110" i="1"/>
  <c r="J110" i="1"/>
  <c r="N109" i="1"/>
  <c r="J109" i="1"/>
  <c r="N108" i="1"/>
  <c r="J108" i="1"/>
  <c r="N107" i="1"/>
  <c r="J107" i="1"/>
  <c r="N106" i="1"/>
  <c r="J106" i="1"/>
  <c r="N105" i="1"/>
  <c r="J105" i="1"/>
  <c r="N104" i="1"/>
  <c r="J104" i="1"/>
  <c r="N103" i="1"/>
  <c r="O103" i="1" s="1"/>
  <c r="J103" i="1"/>
  <c r="K103" i="1" s="1"/>
  <c r="G103" i="1"/>
  <c r="J147" i="1"/>
  <c r="J146" i="1"/>
  <c r="J145" i="1"/>
  <c r="J144" i="1"/>
  <c r="J143" i="1"/>
  <c r="J142" i="1"/>
  <c r="J141" i="1"/>
  <c r="J140" i="1"/>
  <c r="J139" i="1"/>
  <c r="J138" i="1"/>
  <c r="J137" i="1"/>
  <c r="J136" i="1"/>
  <c r="J132" i="1"/>
  <c r="J131" i="1"/>
  <c r="J130" i="1"/>
  <c r="J129" i="1"/>
  <c r="J128" i="1"/>
  <c r="J127" i="1"/>
  <c r="J126" i="1"/>
  <c r="J125" i="1"/>
  <c r="J124" i="1"/>
  <c r="J123" i="1"/>
  <c r="J122" i="1"/>
  <c r="J121" i="1"/>
  <c r="K95" i="1"/>
  <c r="P114" i="1" s="1"/>
  <c r="I95" i="1"/>
  <c r="L114" i="1" s="1"/>
  <c r="K94" i="1"/>
  <c r="P113" i="1" s="1"/>
  <c r="I94" i="1"/>
  <c r="L113" i="1" s="1"/>
  <c r="K93" i="1"/>
  <c r="P112" i="1" s="1"/>
  <c r="I93" i="1"/>
  <c r="L112" i="1" s="1"/>
  <c r="K92" i="1"/>
  <c r="P111" i="1" s="1"/>
  <c r="I92" i="1"/>
  <c r="L111" i="1" s="1"/>
  <c r="K91" i="1"/>
  <c r="P110" i="1" s="1"/>
  <c r="I91" i="1"/>
  <c r="L110" i="1" s="1"/>
  <c r="K90" i="1"/>
  <c r="P109" i="1" s="1"/>
  <c r="I90" i="1"/>
  <c r="L109" i="1" s="1"/>
  <c r="K89" i="1"/>
  <c r="P108" i="1" s="1"/>
  <c r="I89" i="1"/>
  <c r="L108" i="1" s="1"/>
  <c r="K88" i="1"/>
  <c r="P107" i="1" s="1"/>
  <c r="I88" i="1"/>
  <c r="L107" i="1" s="1"/>
  <c r="K87" i="1"/>
  <c r="P106" i="1" s="1"/>
  <c r="I87" i="1"/>
  <c r="L106" i="1" s="1"/>
  <c r="K86" i="1"/>
  <c r="P105" i="1" s="1"/>
  <c r="I86" i="1"/>
  <c r="L105" i="1" s="1"/>
  <c r="K85" i="1"/>
  <c r="P104" i="1" s="1"/>
  <c r="I85" i="1"/>
  <c r="L104" i="1" s="1"/>
  <c r="K84" i="1"/>
  <c r="P103" i="1" s="1"/>
  <c r="I84" i="1"/>
  <c r="L103" i="1" s="1"/>
  <c r="M103" i="1" s="1"/>
  <c r="O83" i="1"/>
  <c r="T108" i="1" l="1"/>
  <c r="T17" i="1"/>
  <c r="T21" i="1"/>
  <c r="T10" i="1"/>
  <c r="T13" i="1"/>
  <c r="D13" i="1" s="1"/>
  <c r="T14" i="1"/>
  <c r="T15" i="1"/>
  <c r="D15" i="1" s="1"/>
  <c r="T16" i="1"/>
  <c r="D16" i="1" s="1"/>
  <c r="T12" i="1"/>
  <c r="D12" i="1" s="1"/>
  <c r="T19" i="1"/>
  <c r="T11" i="1"/>
  <c r="T20" i="1"/>
  <c r="D20" i="1" s="1"/>
  <c r="T18" i="1"/>
  <c r="U111" i="1"/>
  <c r="M104" i="1"/>
  <c r="M105" i="1" s="1"/>
  <c r="M106" i="1" s="1"/>
  <c r="M107" i="1" s="1"/>
  <c r="M108" i="1" s="1"/>
  <c r="M109" i="1" s="1"/>
  <c r="M110" i="1" s="1"/>
  <c r="M111" i="1" s="1"/>
  <c r="M112" i="1" s="1"/>
  <c r="M113" i="1" s="1"/>
  <c r="M114" i="1" s="1"/>
  <c r="K104" i="1"/>
  <c r="K105" i="1" s="1"/>
  <c r="K106" i="1" s="1"/>
  <c r="K107" i="1" s="1"/>
  <c r="K108" i="1" s="1"/>
  <c r="K109" i="1" s="1"/>
  <c r="K110" i="1" s="1"/>
  <c r="K111" i="1" s="1"/>
  <c r="K112" i="1" s="1"/>
  <c r="K113" i="1" s="1"/>
  <c r="K114" i="1" s="1"/>
  <c r="D19" i="1"/>
  <c r="D17" i="1"/>
  <c r="U107" i="1"/>
  <c r="U105" i="1"/>
  <c r="O104" i="1"/>
  <c r="O105" i="1" s="1"/>
  <c r="O106" i="1" s="1"/>
  <c r="O107" i="1" s="1"/>
  <c r="O108" i="1" s="1"/>
  <c r="O109" i="1" s="1"/>
  <c r="O110" i="1" s="1"/>
  <c r="O111" i="1" s="1"/>
  <c r="O112" i="1" s="1"/>
  <c r="O113" i="1" s="1"/>
  <c r="O114" i="1" s="1"/>
  <c r="Q103" i="1"/>
  <c r="Q104" i="1" s="1"/>
  <c r="Q105" i="1" s="1"/>
  <c r="Q106" i="1" s="1"/>
  <c r="Q107" i="1" s="1"/>
  <c r="Q108" i="1" s="1"/>
  <c r="Q109" i="1" s="1"/>
  <c r="Q110" i="1" s="1"/>
  <c r="Q111" i="1" s="1"/>
  <c r="Q112" i="1" s="1"/>
  <c r="Q113" i="1" s="1"/>
  <c r="Q114" i="1" s="1"/>
  <c r="U104" i="1"/>
  <c r="U114" i="1"/>
  <c r="T22" i="1" l="1"/>
  <c r="D11" i="1"/>
  <c r="D85" i="1" s="1"/>
  <c r="D104" i="1" s="1"/>
  <c r="H104" i="1" s="1"/>
  <c r="W104" i="1" s="1"/>
  <c r="D31" i="1"/>
  <c r="D86" i="1"/>
  <c r="D105" i="1" s="1"/>
  <c r="H105" i="1" s="1"/>
  <c r="W105" i="1" s="1"/>
  <c r="D35" i="1"/>
  <c r="D90" i="1"/>
  <c r="D109" i="1" s="1"/>
  <c r="H109" i="1" s="1"/>
  <c r="D34" i="1"/>
  <c r="D89" i="1"/>
  <c r="D108" i="1" s="1"/>
  <c r="H108" i="1" s="1"/>
  <c r="D88" i="1"/>
  <c r="D107" i="1" s="1"/>
  <c r="H107" i="1" s="1"/>
  <c r="W107" i="1" s="1"/>
  <c r="D33" i="1"/>
  <c r="D36" i="1"/>
  <c r="D91" i="1"/>
  <c r="D110" i="1" s="1"/>
  <c r="H110" i="1" s="1"/>
  <c r="D93" i="1"/>
  <c r="D112" i="1" s="1"/>
  <c r="H112" i="1" s="1"/>
  <c r="D38" i="1"/>
  <c r="D40" i="1"/>
  <c r="D95" i="1"/>
  <c r="D114" i="1" s="1"/>
  <c r="H114" i="1" s="1"/>
  <c r="W114" i="1" s="1"/>
  <c r="D37" i="1"/>
  <c r="D92" i="1"/>
  <c r="D111" i="1" s="1"/>
  <c r="H111" i="1" s="1"/>
  <c r="W111" i="1" s="1"/>
  <c r="D32" i="1"/>
  <c r="D87" i="1"/>
  <c r="D106" i="1" s="1"/>
  <c r="H106" i="1" s="1"/>
  <c r="D84" i="1"/>
  <c r="D103" i="1" s="1"/>
  <c r="D39" i="1"/>
  <c r="D94" i="1"/>
  <c r="D113" i="1" s="1"/>
  <c r="H113" i="1" s="1"/>
  <c r="U109" i="1"/>
  <c r="T103" i="1"/>
  <c r="U103" i="1"/>
  <c r="V103" i="1" s="1"/>
  <c r="U112" i="1"/>
  <c r="U110" i="1"/>
  <c r="W112" i="1" l="1"/>
  <c r="D30" i="1"/>
  <c r="T104" i="1"/>
  <c r="W110" i="1"/>
  <c r="F121" i="1"/>
  <c r="F136" i="1"/>
  <c r="W109" i="1"/>
  <c r="E103" i="1"/>
  <c r="E104" i="1" s="1"/>
  <c r="E105" i="1" s="1"/>
  <c r="E106" i="1" s="1"/>
  <c r="E107" i="1" s="1"/>
  <c r="E108" i="1" s="1"/>
  <c r="E109" i="1" s="1"/>
  <c r="E110" i="1" s="1"/>
  <c r="E111" i="1" s="1"/>
  <c r="E112" i="1" s="1"/>
  <c r="E113" i="1" s="1"/>
  <c r="E114" i="1" s="1"/>
  <c r="H103" i="1"/>
  <c r="I103" i="1" s="1"/>
  <c r="U106" i="1"/>
  <c r="W106" i="1" s="1"/>
  <c r="U113" i="1"/>
  <c r="W113" i="1" s="1"/>
  <c r="U108" i="1"/>
  <c r="W108" i="1" s="1"/>
  <c r="V104" i="1"/>
  <c r="V105" i="1"/>
  <c r="T105" i="1" l="1"/>
  <c r="W103" i="1"/>
  <c r="W115" i="1" s="1"/>
  <c r="I104" i="1"/>
  <c r="E121" i="1"/>
  <c r="F138" i="1"/>
  <c r="F123" i="1"/>
  <c r="F137" i="1"/>
  <c r="F122" i="1"/>
  <c r="V106" i="1"/>
  <c r="X103" i="1" l="1"/>
  <c r="X104" i="1" s="1"/>
  <c r="T106" i="1"/>
  <c r="F124" i="1"/>
  <c r="F139" i="1"/>
  <c r="I105" i="1"/>
  <c r="E122" i="1"/>
  <c r="V107" i="1"/>
  <c r="T107" i="1"/>
  <c r="I106" i="1" l="1"/>
  <c r="E123" i="1"/>
  <c r="F125" i="1"/>
  <c r="F140" i="1"/>
  <c r="X105" i="1"/>
  <c r="V108" i="1"/>
  <c r="F141" i="1" l="1"/>
  <c r="F126" i="1"/>
  <c r="I107" i="1"/>
  <c r="E124" i="1"/>
  <c r="X106" i="1"/>
  <c r="V109" i="1"/>
  <c r="T109" i="1"/>
  <c r="F142" i="1" l="1"/>
  <c r="F127" i="1"/>
  <c r="I108" i="1"/>
  <c r="E125" i="1"/>
  <c r="X107" i="1"/>
  <c r="V110" i="1"/>
  <c r="T110" i="1"/>
  <c r="F143" i="1" l="1"/>
  <c r="F128" i="1"/>
  <c r="I109" i="1"/>
  <c r="E126" i="1"/>
  <c r="X108" i="1"/>
  <c r="V111" i="1"/>
  <c r="T111" i="1"/>
  <c r="F144" i="1" l="1"/>
  <c r="F129" i="1"/>
  <c r="I110" i="1"/>
  <c r="E127" i="1"/>
  <c r="X109" i="1"/>
  <c r="V112" i="1"/>
  <c r="T112" i="1"/>
  <c r="F145" i="1" l="1"/>
  <c r="F130" i="1"/>
  <c r="I111" i="1"/>
  <c r="E128" i="1"/>
  <c r="X110" i="1"/>
  <c r="V113" i="1"/>
  <c r="T113" i="1"/>
  <c r="F146" i="1" l="1"/>
  <c r="F131" i="1"/>
  <c r="I112" i="1"/>
  <c r="E129" i="1"/>
  <c r="X111" i="1"/>
  <c r="V114" i="1"/>
  <c r="T114" i="1"/>
  <c r="I113" i="1" l="1"/>
  <c r="E130" i="1"/>
  <c r="F147" i="1"/>
  <c r="F132" i="1"/>
  <c r="X112" i="1"/>
  <c r="I114" i="1" l="1"/>
  <c r="E132" i="1" s="1"/>
  <c r="E131" i="1"/>
  <c r="X113" i="1"/>
  <c r="X114" i="1" l="1"/>
  <c r="J62" i="1" l="1"/>
  <c r="J63" i="1"/>
  <c r="J64" i="1"/>
  <c r="J65" i="1"/>
  <c r="J66" i="1"/>
  <c r="J67" i="1"/>
  <c r="J68" i="1"/>
  <c r="J69" i="1"/>
  <c r="J70" i="1"/>
  <c r="J71" i="1"/>
  <c r="J72" i="1"/>
  <c r="J61" i="1"/>
  <c r="J47" i="1"/>
  <c r="J48" i="1"/>
  <c r="J49" i="1"/>
  <c r="J50" i="1"/>
  <c r="J51" i="1"/>
  <c r="J52" i="1"/>
  <c r="J53" i="1"/>
  <c r="J54" i="1"/>
  <c r="J55" i="1"/>
  <c r="J56" i="1"/>
  <c r="J57" i="1"/>
  <c r="N40" i="1"/>
  <c r="J40" i="1"/>
  <c r="N39" i="1"/>
  <c r="J39" i="1"/>
  <c r="N38" i="1"/>
  <c r="J38" i="1"/>
  <c r="N37" i="1"/>
  <c r="J37" i="1"/>
  <c r="N36" i="1"/>
  <c r="J36" i="1"/>
  <c r="N35" i="1"/>
  <c r="J35" i="1"/>
  <c r="N34" i="1"/>
  <c r="J34" i="1"/>
  <c r="N33" i="1"/>
  <c r="J33" i="1"/>
  <c r="N32" i="1"/>
  <c r="J32" i="1"/>
  <c r="N31" i="1"/>
  <c r="J31" i="1"/>
  <c r="N30" i="1"/>
  <c r="J30" i="1"/>
  <c r="O29" i="1"/>
  <c r="G29" i="1"/>
  <c r="G30" i="1" s="1"/>
  <c r="G31" i="1" s="1"/>
  <c r="G32" i="1" s="1"/>
  <c r="G33" i="1" s="1"/>
  <c r="G34" i="1" s="1"/>
  <c r="G35" i="1" s="1"/>
  <c r="G36" i="1" s="1"/>
  <c r="G37" i="1" s="1"/>
  <c r="G38" i="1" s="1"/>
  <c r="G39" i="1" s="1"/>
  <c r="G40" i="1" s="1"/>
  <c r="K21" i="1"/>
  <c r="P40" i="1" s="1"/>
  <c r="I21" i="1"/>
  <c r="L40" i="1" s="1"/>
  <c r="K20" i="1"/>
  <c r="P39" i="1" s="1"/>
  <c r="I20" i="1"/>
  <c r="L39" i="1" s="1"/>
  <c r="K19" i="1"/>
  <c r="P38" i="1" s="1"/>
  <c r="I19" i="1"/>
  <c r="L38" i="1" s="1"/>
  <c r="H38" i="1"/>
  <c r="H40" i="1"/>
  <c r="K18" i="1"/>
  <c r="P37" i="1" s="1"/>
  <c r="I18" i="1"/>
  <c r="L37" i="1" s="1"/>
  <c r="H37" i="1"/>
  <c r="H39" i="1"/>
  <c r="K17" i="1"/>
  <c r="P36" i="1" s="1"/>
  <c r="I17" i="1"/>
  <c r="L36" i="1" s="1"/>
  <c r="H36" i="1"/>
  <c r="L16" i="1"/>
  <c r="K16" i="1"/>
  <c r="P35" i="1" s="1"/>
  <c r="I16" i="1"/>
  <c r="L35" i="1" s="1"/>
  <c r="H35" i="1"/>
  <c r="L15" i="1"/>
  <c r="K15" i="1"/>
  <c r="P34" i="1" s="1"/>
  <c r="I15" i="1"/>
  <c r="L34" i="1" s="1"/>
  <c r="L14" i="1"/>
  <c r="K14" i="1"/>
  <c r="P33" i="1" s="1"/>
  <c r="I14" i="1"/>
  <c r="L33" i="1" s="1"/>
  <c r="H33" i="1"/>
  <c r="L13" i="1"/>
  <c r="K13" i="1"/>
  <c r="P32" i="1" s="1"/>
  <c r="I13" i="1"/>
  <c r="L32" i="1" s="1"/>
  <c r="H32" i="1"/>
  <c r="H34" i="1"/>
  <c r="L12" i="1"/>
  <c r="K12" i="1"/>
  <c r="P31" i="1" s="1"/>
  <c r="I12" i="1"/>
  <c r="L31" i="1" s="1"/>
  <c r="L11" i="1"/>
  <c r="K11" i="1"/>
  <c r="P30" i="1" s="1"/>
  <c r="I11" i="1"/>
  <c r="L30" i="1" s="1"/>
  <c r="H30" i="1"/>
  <c r="L10" i="1"/>
  <c r="K10" i="1"/>
  <c r="Q29" i="1" s="1"/>
  <c r="I10" i="1"/>
  <c r="M29" i="1" s="1"/>
  <c r="H31" i="1"/>
  <c r="O9" i="1"/>
  <c r="K66" i="1" s="1"/>
  <c r="U31" i="1" l="1"/>
  <c r="U36" i="1"/>
  <c r="U32" i="1"/>
  <c r="U35" i="1"/>
  <c r="K53" i="1"/>
  <c r="U33" i="1"/>
  <c r="U37" i="1"/>
  <c r="K49" i="1"/>
  <c r="K64" i="1"/>
  <c r="K70" i="1"/>
  <c r="U39" i="1"/>
  <c r="K69" i="1"/>
  <c r="K51" i="1"/>
  <c r="K68" i="1"/>
  <c r="K29" i="1"/>
  <c r="K30" i="1" s="1"/>
  <c r="K31" i="1" s="1"/>
  <c r="K32" i="1" s="1"/>
  <c r="K33" i="1" s="1"/>
  <c r="K34" i="1" s="1"/>
  <c r="K35" i="1" s="1"/>
  <c r="K36" i="1" s="1"/>
  <c r="K37" i="1" s="1"/>
  <c r="K38" i="1" s="1"/>
  <c r="K39" i="1" s="1"/>
  <c r="K40" i="1" s="1"/>
  <c r="U40" i="1"/>
  <c r="U30" i="1"/>
  <c r="U34" i="1"/>
  <c r="K48" i="1"/>
  <c r="K63" i="1"/>
  <c r="K56" i="1"/>
  <c r="K71" i="1"/>
  <c r="K52" i="1"/>
  <c r="K50" i="1"/>
  <c r="K67" i="1"/>
  <c r="U38" i="1"/>
  <c r="K57" i="1"/>
  <c r="K72" i="1"/>
  <c r="K62" i="1"/>
  <c r="H29" i="1"/>
  <c r="I29" i="1" s="1"/>
  <c r="E136" i="1" s="1"/>
  <c r="O30" i="1"/>
  <c r="O31" i="1" s="1"/>
  <c r="O32" i="1" s="1"/>
  <c r="O33" i="1" s="1"/>
  <c r="O34" i="1" s="1"/>
  <c r="O35" i="1" s="1"/>
  <c r="O36" i="1" s="1"/>
  <c r="O37" i="1" s="1"/>
  <c r="O38" i="1" s="1"/>
  <c r="O39" i="1" s="1"/>
  <c r="O40" i="1" s="1"/>
  <c r="K55" i="1"/>
  <c r="K47" i="1"/>
  <c r="K147" i="1"/>
  <c r="K143" i="1"/>
  <c r="K139" i="1"/>
  <c r="K132" i="1"/>
  <c r="K128" i="1"/>
  <c r="K124" i="1"/>
  <c r="K142" i="1"/>
  <c r="K138" i="1"/>
  <c r="K131" i="1"/>
  <c r="K127" i="1"/>
  <c r="K145" i="1"/>
  <c r="K141" i="1"/>
  <c r="K130" i="1"/>
  <c r="K122" i="1"/>
  <c r="K146" i="1"/>
  <c r="K123" i="1"/>
  <c r="K137" i="1"/>
  <c r="K126" i="1"/>
  <c r="K136" i="1"/>
  <c r="K125" i="1"/>
  <c r="K140" i="1"/>
  <c r="K144" i="1"/>
  <c r="K129" i="1"/>
  <c r="K121" i="1"/>
  <c r="Y114" i="1"/>
  <c r="Y104" i="1"/>
  <c r="Y111" i="1"/>
  <c r="Y107" i="1"/>
  <c r="Y105" i="1"/>
  <c r="Y112" i="1"/>
  <c r="Y110" i="1"/>
  <c r="Y108" i="1"/>
  <c r="Y109" i="1"/>
  <c r="Y113" i="1"/>
  <c r="Y106" i="1"/>
  <c r="Y103" i="1"/>
  <c r="Z103" i="1"/>
  <c r="Y115" i="1"/>
  <c r="Z104" i="1"/>
  <c r="Z105" i="1"/>
  <c r="Z106" i="1"/>
  <c r="Z107" i="1"/>
  <c r="Z108" i="1"/>
  <c r="Z109" i="1"/>
  <c r="Z110" i="1"/>
  <c r="Z111" i="1"/>
  <c r="Z112" i="1"/>
  <c r="Z113" i="1"/>
  <c r="Z114" i="1"/>
  <c r="K54" i="1"/>
  <c r="K61" i="1"/>
  <c r="K65" i="1"/>
  <c r="E29" i="1"/>
  <c r="E30" i="1" s="1"/>
  <c r="E31" i="1" s="1"/>
  <c r="E32" i="1" s="1"/>
  <c r="E33" i="1" s="1"/>
  <c r="E34" i="1" s="1"/>
  <c r="E35" i="1" s="1"/>
  <c r="E36" i="1" s="1"/>
  <c r="E37" i="1" s="1"/>
  <c r="E38" i="1" s="1"/>
  <c r="E39" i="1" s="1"/>
  <c r="E40" i="1" s="1"/>
  <c r="M30" i="1"/>
  <c r="M31" i="1" s="1"/>
  <c r="M32" i="1" s="1"/>
  <c r="M33" i="1" s="1"/>
  <c r="M34" i="1" s="1"/>
  <c r="M35" i="1" s="1"/>
  <c r="M36" i="1" s="1"/>
  <c r="M37" i="1" s="1"/>
  <c r="M38" i="1" s="1"/>
  <c r="M39" i="1" s="1"/>
  <c r="M40" i="1" s="1"/>
  <c r="Q30" i="1"/>
  <c r="Q31" i="1" s="1"/>
  <c r="Q32" i="1" s="1"/>
  <c r="Q33" i="1" s="1"/>
  <c r="Q34" i="1" s="1"/>
  <c r="Q35" i="1" s="1"/>
  <c r="Q36" i="1" s="1"/>
  <c r="Q37" i="1" s="1"/>
  <c r="Q38" i="1" s="1"/>
  <c r="Q39" i="1" s="1"/>
  <c r="Q40" i="1" s="1"/>
  <c r="AA113" i="1" l="1"/>
  <c r="AB113" i="1" s="1"/>
  <c r="AA105" i="1"/>
  <c r="AB105" i="1" s="1"/>
  <c r="AA112" i="1"/>
  <c r="AB112" i="1"/>
  <c r="AA104" i="1"/>
  <c r="AB104" i="1"/>
  <c r="AA108" i="1"/>
  <c r="AB108" i="1" s="1"/>
  <c r="AA106" i="1"/>
  <c r="AB106" i="1" s="1"/>
  <c r="AA109" i="1"/>
  <c r="AB109" i="1" s="1"/>
  <c r="AA107" i="1"/>
  <c r="AB107" i="1" s="1"/>
  <c r="AA114" i="1"/>
  <c r="AB114" i="1"/>
  <c r="AA111" i="1"/>
  <c r="AB111" i="1" s="1"/>
  <c r="AA110" i="1"/>
  <c r="AB110" i="1" s="1"/>
  <c r="AA103" i="1"/>
  <c r="G121" i="1" s="1"/>
  <c r="W33" i="1"/>
  <c r="Y33" i="1" s="1"/>
  <c r="W31" i="1"/>
  <c r="Y31" i="1" s="1"/>
  <c r="W32" i="1"/>
  <c r="Y32" i="1" s="1"/>
  <c r="W38" i="1"/>
  <c r="Y38" i="1" s="1"/>
  <c r="W39" i="1"/>
  <c r="Y39" i="1" s="1"/>
  <c r="W37" i="1"/>
  <c r="Y37" i="1" s="1"/>
  <c r="W40" i="1"/>
  <c r="Y40" i="1" s="1"/>
  <c r="W35" i="1"/>
  <c r="Y35" i="1" s="1"/>
  <c r="W30" i="1"/>
  <c r="Y30" i="1" s="1"/>
  <c r="W34" i="1"/>
  <c r="Y34" i="1" s="1"/>
  <c r="W36" i="1"/>
  <c r="Y36" i="1" s="1"/>
  <c r="I30" i="1"/>
  <c r="E137" i="1" s="1"/>
  <c r="E46" i="1"/>
  <c r="E61" i="1" s="1"/>
  <c r="AB103" i="1" l="1"/>
  <c r="AF107" i="1"/>
  <c r="AG107" i="1" s="1"/>
  <c r="AK107" i="1" s="1"/>
  <c r="G140" i="1"/>
  <c r="AC110" i="1"/>
  <c r="AD110" i="1" s="1"/>
  <c r="AI110" i="1" s="1"/>
  <c r="G128" i="1"/>
  <c r="AF110" i="1"/>
  <c r="AG110" i="1" s="1"/>
  <c r="AK110" i="1" s="1"/>
  <c r="G143" i="1"/>
  <c r="AF111" i="1"/>
  <c r="AG111" i="1" s="1"/>
  <c r="AK111" i="1" s="1"/>
  <c r="G144" i="1"/>
  <c r="AC111" i="1"/>
  <c r="AD111" i="1" s="1"/>
  <c r="AI111" i="1" s="1"/>
  <c r="G129" i="1"/>
  <c r="AC106" i="1"/>
  <c r="AD106" i="1" s="1"/>
  <c r="AI106" i="1" s="1"/>
  <c r="G124" i="1"/>
  <c r="AC105" i="1"/>
  <c r="AD105" i="1" s="1"/>
  <c r="AI105" i="1" s="1"/>
  <c r="G123" i="1"/>
  <c r="AC107" i="1"/>
  <c r="AD107" i="1" s="1"/>
  <c r="AI107" i="1" s="1"/>
  <c r="G125" i="1"/>
  <c r="AF114" i="1"/>
  <c r="AG114" i="1" s="1"/>
  <c r="AK114" i="1" s="1"/>
  <c r="G147" i="1"/>
  <c r="AC108" i="1"/>
  <c r="AD108" i="1" s="1"/>
  <c r="AI108" i="1" s="1"/>
  <c r="G126" i="1"/>
  <c r="AF113" i="1"/>
  <c r="AG113" i="1" s="1"/>
  <c r="AK113" i="1" s="1"/>
  <c r="G146" i="1"/>
  <c r="AF104" i="1"/>
  <c r="AG104" i="1" s="1"/>
  <c r="AK104" i="1" s="1"/>
  <c r="G137" i="1"/>
  <c r="AC103" i="1"/>
  <c r="AD103" i="1" s="1"/>
  <c r="AC104" i="1"/>
  <c r="AD104" i="1" s="1"/>
  <c r="AI104" i="1" s="1"/>
  <c r="G122" i="1"/>
  <c r="AC109" i="1"/>
  <c r="AD109" i="1" s="1"/>
  <c r="AI109" i="1" s="1"/>
  <c r="G127" i="1"/>
  <c r="AF112" i="1"/>
  <c r="AG112" i="1" s="1"/>
  <c r="AK112" i="1" s="1"/>
  <c r="G145" i="1"/>
  <c r="AF109" i="1"/>
  <c r="AG109" i="1" s="1"/>
  <c r="AK109" i="1" s="1"/>
  <c r="G142" i="1"/>
  <c r="AC112" i="1"/>
  <c r="AD112" i="1" s="1"/>
  <c r="AI112" i="1" s="1"/>
  <c r="G130" i="1"/>
  <c r="AF106" i="1"/>
  <c r="AG106" i="1" s="1"/>
  <c r="AK106" i="1" s="1"/>
  <c r="G139" i="1"/>
  <c r="AF105" i="1"/>
  <c r="AG105" i="1" s="1"/>
  <c r="AK105" i="1" s="1"/>
  <c r="G138" i="1"/>
  <c r="AF103" i="1"/>
  <c r="AG103" i="1" s="1"/>
  <c r="G136" i="1"/>
  <c r="AC114" i="1"/>
  <c r="AD114" i="1" s="1"/>
  <c r="AI114" i="1" s="1"/>
  <c r="G132" i="1"/>
  <c r="AF108" i="1"/>
  <c r="AG108" i="1" s="1"/>
  <c r="AK108" i="1" s="1"/>
  <c r="G141" i="1"/>
  <c r="AC113" i="1"/>
  <c r="AD113" i="1" s="1"/>
  <c r="AI113" i="1" s="1"/>
  <c r="G131" i="1"/>
  <c r="E47" i="1"/>
  <c r="E62" i="1" s="1"/>
  <c r="I31" i="1"/>
  <c r="E138" i="1" s="1"/>
  <c r="AK103" i="1" l="1"/>
  <c r="AH103" i="1"/>
  <c r="AG115" i="1"/>
  <c r="AE103" i="1"/>
  <c r="AI103" i="1"/>
  <c r="I32" i="1"/>
  <c r="E139" i="1" s="1"/>
  <c r="E48" i="1"/>
  <c r="E63" i="1" s="1"/>
  <c r="Y41" i="1"/>
  <c r="X29" i="1"/>
  <c r="V30" i="1"/>
  <c r="F46" i="1"/>
  <c r="F61" i="1" s="1"/>
  <c r="AL103" i="1" l="1"/>
  <c r="AK115" i="1"/>
  <c r="AJ103" i="1"/>
  <c r="AI115" i="1"/>
  <c r="H121" i="1"/>
  <c r="AE104" i="1"/>
  <c r="H136" i="1"/>
  <c r="AH104" i="1"/>
  <c r="X30" i="1"/>
  <c r="F47" i="1"/>
  <c r="F62" i="1" s="1"/>
  <c r="V31" i="1"/>
  <c r="E49" i="1"/>
  <c r="E64" i="1" s="1"/>
  <c r="I33" i="1"/>
  <c r="E140" i="1" s="1"/>
  <c r="H122" i="1" l="1"/>
  <c r="AE105" i="1"/>
  <c r="I121" i="1"/>
  <c r="AJ104" i="1"/>
  <c r="H137" i="1"/>
  <c r="AH105" i="1"/>
  <c r="AL104" i="1"/>
  <c r="I136" i="1"/>
  <c r="X31" i="1"/>
  <c r="Z30" i="1"/>
  <c r="F48" i="1"/>
  <c r="F63" i="1" s="1"/>
  <c r="V32" i="1"/>
  <c r="E50" i="1"/>
  <c r="E65" i="1" s="1"/>
  <c r="I34" i="1"/>
  <c r="E141" i="1" s="1"/>
  <c r="H123" i="1" l="1"/>
  <c r="AE106" i="1"/>
  <c r="I137" i="1"/>
  <c r="AL105" i="1"/>
  <c r="H138" i="1"/>
  <c r="AH106" i="1"/>
  <c r="I122" i="1"/>
  <c r="AJ105" i="1"/>
  <c r="AC29" i="1"/>
  <c r="AD29" i="1" s="1"/>
  <c r="AI29" i="1" s="1"/>
  <c r="V33" i="1"/>
  <c r="F49" i="1"/>
  <c r="F64" i="1" s="1"/>
  <c r="G47" i="1"/>
  <c r="AA30" i="1"/>
  <c r="AB29" i="1"/>
  <c r="E51" i="1"/>
  <c r="E66" i="1" s="1"/>
  <c r="I35" i="1"/>
  <c r="E142" i="1" s="1"/>
  <c r="X32" i="1"/>
  <c r="Z31" i="1"/>
  <c r="AE29" i="1" l="1"/>
  <c r="H46" i="1" s="1"/>
  <c r="I123" i="1"/>
  <c r="AJ106" i="1"/>
  <c r="H139" i="1"/>
  <c r="AH107" i="1"/>
  <c r="I138" i="1"/>
  <c r="AL106" i="1"/>
  <c r="H124" i="1"/>
  <c r="AE107" i="1"/>
  <c r="AC30" i="1"/>
  <c r="AD30" i="1" s="1"/>
  <c r="AI30" i="1" s="1"/>
  <c r="G61" i="1"/>
  <c r="AF29" i="1"/>
  <c r="AG29" i="1" s="1"/>
  <c r="AB30" i="1"/>
  <c r="G48" i="1"/>
  <c r="AA31" i="1"/>
  <c r="Z32" i="1"/>
  <c r="X33" i="1"/>
  <c r="F50" i="1"/>
  <c r="F65" i="1" s="1"/>
  <c r="V34" i="1"/>
  <c r="E52" i="1"/>
  <c r="E67" i="1" s="1"/>
  <c r="I36" i="1"/>
  <c r="E143" i="1" s="1"/>
  <c r="AJ29" i="1"/>
  <c r="I124" i="1" l="1"/>
  <c r="AJ107" i="1"/>
  <c r="H125" i="1"/>
  <c r="AE108" i="1"/>
  <c r="I139" i="1"/>
  <c r="AL107" i="1"/>
  <c r="H140" i="1"/>
  <c r="AH108" i="1"/>
  <c r="AE30" i="1"/>
  <c r="H47" i="1" s="1"/>
  <c r="AC31" i="1"/>
  <c r="AD31" i="1" s="1"/>
  <c r="AI31" i="1" s="1"/>
  <c r="AB31" i="1"/>
  <c r="AF31" i="1" s="1"/>
  <c r="AG31" i="1" s="1"/>
  <c r="AK31" i="1" s="1"/>
  <c r="G49" i="1"/>
  <c r="AA32" i="1"/>
  <c r="E53" i="1"/>
  <c r="E68" i="1" s="1"/>
  <c r="I37" i="1"/>
  <c r="E144" i="1" s="1"/>
  <c r="I46" i="1"/>
  <c r="AJ30" i="1"/>
  <c r="V35" i="1"/>
  <c r="F51" i="1"/>
  <c r="F66" i="1" s="1"/>
  <c r="AF30" i="1"/>
  <c r="AG30" i="1" s="1"/>
  <c r="AK30" i="1" s="1"/>
  <c r="G62" i="1"/>
  <c r="Z33" i="1"/>
  <c r="X34" i="1"/>
  <c r="AH29" i="1"/>
  <c r="AK29" i="1"/>
  <c r="I125" i="1" l="1"/>
  <c r="AJ108" i="1"/>
  <c r="AH109" i="1"/>
  <c r="H141" i="1"/>
  <c r="I140" i="1"/>
  <c r="AL108" i="1"/>
  <c r="H126" i="1"/>
  <c r="AE109" i="1"/>
  <c r="AE31" i="1"/>
  <c r="H48" i="1" s="1"/>
  <c r="AC32" i="1"/>
  <c r="AD32" i="1" s="1"/>
  <c r="AI32" i="1" s="1"/>
  <c r="G63" i="1"/>
  <c r="I47" i="1"/>
  <c r="AJ31" i="1"/>
  <c r="I38" i="1"/>
  <c r="E145" i="1" s="1"/>
  <c r="E54" i="1"/>
  <c r="E69" i="1" s="1"/>
  <c r="AL29" i="1"/>
  <c r="H61" i="1"/>
  <c r="AH30" i="1"/>
  <c r="F52" i="1"/>
  <c r="F67" i="1" s="1"/>
  <c r="V36" i="1"/>
  <c r="Z34" i="1"/>
  <c r="X35" i="1"/>
  <c r="G50" i="1"/>
  <c r="AA33" i="1"/>
  <c r="AB32" i="1"/>
  <c r="I126" i="1" l="1"/>
  <c r="AJ109" i="1"/>
  <c r="H127" i="1"/>
  <c r="AE110" i="1"/>
  <c r="AL109" i="1"/>
  <c r="I141" i="1"/>
  <c r="H142" i="1"/>
  <c r="AH110" i="1"/>
  <c r="AE32" i="1"/>
  <c r="AC33" i="1"/>
  <c r="AD33" i="1" s="1"/>
  <c r="AI33" i="1" s="1"/>
  <c r="AB33" i="1"/>
  <c r="Z35" i="1"/>
  <c r="X36" i="1"/>
  <c r="F53" i="1"/>
  <c r="F68" i="1" s="1"/>
  <c r="V37" i="1"/>
  <c r="E55" i="1"/>
  <c r="E70" i="1" s="1"/>
  <c r="I39" i="1"/>
  <c r="E146" i="1" s="1"/>
  <c r="G51" i="1"/>
  <c r="AA34" i="1"/>
  <c r="G64" i="1"/>
  <c r="AF32" i="1"/>
  <c r="AG32" i="1" s="1"/>
  <c r="I48" i="1"/>
  <c r="AJ32" i="1"/>
  <c r="G65" i="1"/>
  <c r="H62" i="1"/>
  <c r="AH31" i="1"/>
  <c r="AL30" i="1"/>
  <c r="I61" i="1"/>
  <c r="AE33" i="1" l="1"/>
  <c r="H50" i="1" s="1"/>
  <c r="I127" i="1"/>
  <c r="AJ110" i="1"/>
  <c r="H49" i="1"/>
  <c r="H143" i="1"/>
  <c r="AH111" i="1"/>
  <c r="I142" i="1"/>
  <c r="AL110" i="1"/>
  <c r="H128" i="1"/>
  <c r="AE111" i="1"/>
  <c r="AC34" i="1"/>
  <c r="AD34" i="1" s="1"/>
  <c r="AI34" i="1" s="1"/>
  <c r="AF33" i="1"/>
  <c r="AG33" i="1" s="1"/>
  <c r="AK33" i="1" s="1"/>
  <c r="AB34" i="1"/>
  <c r="I40" i="1"/>
  <c r="E56" i="1"/>
  <c r="E71" i="1" s="1"/>
  <c r="I62" i="1"/>
  <c r="AL31" i="1"/>
  <c r="V38" i="1"/>
  <c r="F54" i="1"/>
  <c r="F69" i="1" s="1"/>
  <c r="AA35" i="1"/>
  <c r="G52" i="1"/>
  <c r="I49" i="1"/>
  <c r="AJ33" i="1"/>
  <c r="AK32" i="1"/>
  <c r="AH32" i="1"/>
  <c r="H63" i="1"/>
  <c r="X37" i="1"/>
  <c r="Z36" i="1"/>
  <c r="I128" i="1" l="1"/>
  <c r="AJ111" i="1"/>
  <c r="H129" i="1"/>
  <c r="AE112" i="1"/>
  <c r="I143" i="1"/>
  <c r="AL111" i="1"/>
  <c r="H144" i="1"/>
  <c r="AH112" i="1"/>
  <c r="AE34" i="1"/>
  <c r="H51" i="1" s="1"/>
  <c r="E57" i="1"/>
  <c r="E72" i="1" s="1"/>
  <c r="E147" i="1"/>
  <c r="AC35" i="1"/>
  <c r="AD35" i="1" s="1"/>
  <c r="AI35" i="1" s="1"/>
  <c r="G66" i="1"/>
  <c r="AF34" i="1"/>
  <c r="AG34" i="1" s="1"/>
  <c r="AK34" i="1" s="1"/>
  <c r="AB35" i="1"/>
  <c r="I63" i="1"/>
  <c r="AL32" i="1"/>
  <c r="G53" i="1"/>
  <c r="AA36" i="1"/>
  <c r="AJ34" i="1"/>
  <c r="I50" i="1"/>
  <c r="H64" i="1"/>
  <c r="AH33" i="1"/>
  <c r="F55" i="1"/>
  <c r="F70" i="1" s="1"/>
  <c r="V39" i="1"/>
  <c r="X38" i="1"/>
  <c r="Z37" i="1"/>
  <c r="I129" i="1" l="1"/>
  <c r="AJ112" i="1"/>
  <c r="H145" i="1"/>
  <c r="AH113" i="1"/>
  <c r="I144" i="1"/>
  <c r="AL112" i="1"/>
  <c r="AE35" i="1"/>
  <c r="H130" i="1"/>
  <c r="AE113" i="1"/>
  <c r="G67" i="1"/>
  <c r="AF35" i="1"/>
  <c r="AG35" i="1" s="1"/>
  <c r="AK35" i="1" s="1"/>
  <c r="AC36" i="1"/>
  <c r="AD36" i="1" s="1"/>
  <c r="AI36" i="1" s="1"/>
  <c r="AB36" i="1"/>
  <c r="I64" i="1"/>
  <c r="AL33" i="1"/>
  <c r="H52" i="1"/>
  <c r="I51" i="1"/>
  <c r="AJ35" i="1"/>
  <c r="AA37" i="1"/>
  <c r="G54" i="1"/>
  <c r="AB37" i="1"/>
  <c r="X39" i="1"/>
  <c r="Z38" i="1"/>
  <c r="AH34" i="1"/>
  <c r="H65" i="1"/>
  <c r="F56" i="1"/>
  <c r="F71" i="1" s="1"/>
  <c r="V40" i="1"/>
  <c r="I145" i="1" l="1"/>
  <c r="AL113" i="1"/>
  <c r="I130" i="1"/>
  <c r="AJ113" i="1"/>
  <c r="AH114" i="1"/>
  <c r="H147" i="1" s="1"/>
  <c r="H146" i="1"/>
  <c r="AE114" i="1"/>
  <c r="H132" i="1" s="1"/>
  <c r="H131" i="1"/>
  <c r="F57" i="1"/>
  <c r="F72" i="1" s="1"/>
  <c r="G68" i="1"/>
  <c r="AC37" i="1"/>
  <c r="AD37" i="1" s="1"/>
  <c r="AI37" i="1" s="1"/>
  <c r="AE36" i="1"/>
  <c r="AF36" i="1"/>
  <c r="AG36" i="1" s="1"/>
  <c r="AK36" i="1" s="1"/>
  <c r="G69" i="1"/>
  <c r="AF37" i="1"/>
  <c r="AG37" i="1" s="1"/>
  <c r="AK37" i="1" s="1"/>
  <c r="AJ36" i="1"/>
  <c r="I52" i="1"/>
  <c r="I65" i="1"/>
  <c r="AL34" i="1"/>
  <c r="H66" i="1"/>
  <c r="AH35" i="1"/>
  <c r="G55" i="1"/>
  <c r="AA38" i="1"/>
  <c r="X40" i="1"/>
  <c r="Z40" i="1" s="1"/>
  <c r="Z39" i="1"/>
  <c r="AL114" i="1" l="1"/>
  <c r="I147" i="1" s="1"/>
  <c r="I146" i="1"/>
  <c r="AJ114" i="1"/>
  <c r="I132" i="1" s="1"/>
  <c r="I131" i="1"/>
  <c r="AC38" i="1"/>
  <c r="AD38" i="1" s="1"/>
  <c r="AI38" i="1" s="1"/>
  <c r="AE37" i="1"/>
  <c r="H53" i="1"/>
  <c r="AB38" i="1"/>
  <c r="H67" i="1"/>
  <c r="AH36" i="1"/>
  <c r="G56" i="1"/>
  <c r="AA39" i="1"/>
  <c r="G57" i="1"/>
  <c r="AA40" i="1"/>
  <c r="AL35" i="1"/>
  <c r="I66" i="1"/>
  <c r="I53" i="1"/>
  <c r="AJ37" i="1"/>
  <c r="AE38" i="1" l="1"/>
  <c r="AF38" i="1"/>
  <c r="AG38" i="1" s="1"/>
  <c r="AK38" i="1" s="1"/>
  <c r="AC40" i="1"/>
  <c r="AD40" i="1" s="1"/>
  <c r="AI40" i="1" s="1"/>
  <c r="H54" i="1"/>
  <c r="AC39" i="1"/>
  <c r="AD39" i="1" s="1"/>
  <c r="AI39" i="1" s="1"/>
  <c r="AI41" i="1" s="1"/>
  <c r="G70" i="1"/>
  <c r="AB39" i="1"/>
  <c r="AB40" i="1"/>
  <c r="G72" i="1" s="1"/>
  <c r="H55" i="1"/>
  <c r="I67" i="1"/>
  <c r="AL36" i="1"/>
  <c r="I54" i="1"/>
  <c r="AJ38" i="1"/>
  <c r="H68" i="1"/>
  <c r="AH37" i="1"/>
  <c r="AF39" i="1"/>
  <c r="AG39" i="1" s="1"/>
  <c r="AK39" i="1" s="1"/>
  <c r="AE39" i="1" l="1"/>
  <c r="H56" i="1" s="1"/>
  <c r="AF40" i="1"/>
  <c r="AG40" i="1" s="1"/>
  <c r="AK40" i="1" s="1"/>
  <c r="AK41" i="1" s="1"/>
  <c r="G71" i="1"/>
  <c r="AJ39" i="1"/>
  <c r="I55" i="1"/>
  <c r="I68" i="1"/>
  <c r="AL37" i="1"/>
  <c r="H69" i="1"/>
  <c r="AH38" i="1"/>
  <c r="AG41" i="1" l="1"/>
  <c r="AE40" i="1"/>
  <c r="H57" i="1" s="1"/>
  <c r="I56" i="1"/>
  <c r="AJ40" i="1"/>
  <c r="H70" i="1"/>
  <c r="AH39" i="1"/>
  <c r="AL38" i="1"/>
  <c r="I69" i="1"/>
  <c r="I57" i="1" l="1"/>
  <c r="N126" i="1" s="1"/>
  <c r="AH40" i="1"/>
  <c r="H71" i="1"/>
  <c r="I70" i="1"/>
  <c r="AL39" i="1"/>
  <c r="R127" i="1" l="1"/>
  <c r="R128" i="1"/>
  <c r="R131" i="1"/>
  <c r="R129" i="1"/>
  <c r="R130" i="1"/>
  <c r="R132" i="1"/>
  <c r="H72" i="1"/>
  <c r="I71" i="1"/>
  <c r="AL40" i="1"/>
  <c r="R133" i="1" l="1"/>
  <c r="I72" i="1"/>
  <c r="N138" i="1" s="1"/>
  <c r="R137" i="1" l="1"/>
  <c r="R145" i="1"/>
  <c r="R138" i="1"/>
  <c r="R146" i="1"/>
  <c r="R139" i="1"/>
  <c r="R147" i="1"/>
  <c r="R140" i="1"/>
  <c r="R136" i="1"/>
  <c r="R141" i="1"/>
  <c r="R142" i="1"/>
  <c r="R143" i="1"/>
  <c r="R144" i="1"/>
</calcChain>
</file>

<file path=xl/sharedStrings.xml><?xml version="1.0" encoding="utf-8"?>
<sst xmlns="http://schemas.openxmlformats.org/spreadsheetml/2006/main" count="373" uniqueCount="96">
  <si>
    <t xml:space="preserve">DIGA </t>
  </si>
  <si>
    <t>CONZA</t>
  </si>
  <si>
    <t>Ai</t>
  </si>
  <si>
    <t>Ai*</t>
  </si>
  <si>
    <t>Mm3</t>
  </si>
  <si>
    <t>Ci(A)</t>
  </si>
  <si>
    <t>mesi</t>
  </si>
  <si>
    <t xml:space="preserve">Ci (A)    </t>
  </si>
  <si>
    <t xml:space="preserve">Ci(A’)   </t>
  </si>
  <si>
    <t>Pi(eva)  (Mm3)</t>
  </si>
  <si>
    <t>Pi(inf)   (Mm3)</t>
  </si>
  <si>
    <t xml:space="preserve">Ci(eco) </t>
  </si>
  <si>
    <t xml:space="preserve">Ci (pot) </t>
  </si>
  <si>
    <t xml:space="preserve">Ci (irr )  </t>
  </si>
  <si>
    <t xml:space="preserve">Ci (ind)  </t>
  </si>
  <si>
    <t>Ci(tra)</t>
  </si>
  <si>
    <t>S</t>
  </si>
  <si>
    <t>Km2</t>
  </si>
  <si>
    <t>ott</t>
  </si>
  <si>
    <t>Winv tot</t>
  </si>
  <si>
    <t>nov</t>
  </si>
  <si>
    <t>Win aut</t>
  </si>
  <si>
    <t>Wo</t>
  </si>
  <si>
    <t>dic</t>
  </si>
  <si>
    <t>A</t>
  </si>
  <si>
    <t>gen</t>
  </si>
  <si>
    <t>A'</t>
  </si>
  <si>
    <t>feb</t>
  </si>
  <si>
    <t>D ec</t>
  </si>
  <si>
    <t>mar</t>
  </si>
  <si>
    <t>E pot</t>
  </si>
  <si>
    <t>apr</t>
  </si>
  <si>
    <t>Eirr</t>
  </si>
  <si>
    <t>mag</t>
  </si>
  <si>
    <t>Eind</t>
  </si>
  <si>
    <t>giu</t>
  </si>
  <si>
    <t>lug</t>
  </si>
  <si>
    <t>ago</t>
  </si>
  <si>
    <t>sett</t>
  </si>
  <si>
    <t>A’i</t>
  </si>
  <si>
    <t>A’i*</t>
  </si>
  <si>
    <t>Di</t>
  </si>
  <si>
    <t>Di*</t>
  </si>
  <si>
    <t>Ei</t>
  </si>
  <si>
    <t>Ei*</t>
  </si>
  <si>
    <t>wi</t>
  </si>
  <si>
    <t>wi*</t>
  </si>
  <si>
    <t>Wi</t>
  </si>
  <si>
    <t>Wi*</t>
  </si>
  <si>
    <t xml:space="preserve">(tot)  </t>
  </si>
  <si>
    <t xml:space="preserve">(eco) </t>
  </si>
  <si>
    <t>(ec0)</t>
  </si>
  <si>
    <t>(pot)</t>
  </si>
  <si>
    <t xml:space="preserve">(irr) </t>
  </si>
  <si>
    <t>(irr)</t>
  </si>
  <si>
    <t>(ind)</t>
  </si>
  <si>
    <t>(tra)</t>
  </si>
  <si>
    <t>(tot)</t>
  </si>
  <si>
    <t xml:space="preserve">  Mm3</t>
  </si>
  <si>
    <t xml:space="preserve">Mm3 </t>
  </si>
  <si>
    <t>Wdiga</t>
  </si>
  <si>
    <t xml:space="preserve">caso a </t>
  </si>
  <si>
    <t>W =</t>
  </si>
  <si>
    <t>caso b</t>
  </si>
  <si>
    <t>W=</t>
  </si>
  <si>
    <t>Winv aut</t>
  </si>
  <si>
    <t>Wi a*</t>
  </si>
  <si>
    <t>Wib*</t>
  </si>
  <si>
    <t>Ai*tot</t>
  </si>
  <si>
    <t>Ei*tot</t>
  </si>
  <si>
    <t>Wi*(a)</t>
  </si>
  <si>
    <t>Sfi(a)*</t>
  </si>
  <si>
    <t>S/Di(a)*</t>
  </si>
  <si>
    <t>Wi*(b)</t>
  </si>
  <si>
    <t>Sfi(b)*</t>
  </si>
  <si>
    <t>S/Dib)*</t>
  </si>
  <si>
    <t>S/Di(b)*</t>
  </si>
  <si>
    <t>Sfia</t>
  </si>
  <si>
    <t>Sfia*</t>
  </si>
  <si>
    <t>SFib</t>
  </si>
  <si>
    <t>Sfib*</t>
  </si>
  <si>
    <t>S/Di a</t>
  </si>
  <si>
    <t>S/Dia*</t>
  </si>
  <si>
    <t>S/Di b</t>
  </si>
  <si>
    <t>S/Dib*</t>
  </si>
  <si>
    <t>SFia*</t>
  </si>
  <si>
    <t>SFib*</t>
  </si>
  <si>
    <t>S/Dib</t>
  </si>
  <si>
    <t>Surp*a</t>
  </si>
  <si>
    <t>Surp*b</t>
  </si>
  <si>
    <t xml:space="preserve">N </t>
  </si>
  <si>
    <t>N</t>
  </si>
  <si>
    <t>Ktra</t>
  </si>
  <si>
    <t>Eitra</t>
  </si>
  <si>
    <t>Wi*(0)</t>
  </si>
  <si>
    <t>Wi*(1)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</si>
</sst>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7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b/>
      <sz val="11"/>
      <color rgb="FF0070C0"/>
      <name val="Aptos Narrow"/>
      <family val="2"/>
      <scheme val="minor"/>
    </font>
    <font>
      <sz val="11"/>
      <color rgb="FF0070C0"/>
      <name val="Aptos Narrow"/>
      <family val="2"/>
      <scheme val="minor"/>
    </font>
    <font>
      <sz val="11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1">
    <xf numFmtId="0" fontId="0" fillId="0" borderId="0" xfId="0"/>
    <xf numFmtId="0" fontId="2" fillId="0" borderId="0" xfId="0" applyFont="1"/>
    <xf numFmtId="0" fontId="2" fillId="2" borderId="0" xfId="0" applyFont="1" applyFill="1"/>
    <xf numFmtId="0" fontId="0" fillId="2" borderId="0" xfId="0" applyFill="1"/>
    <xf numFmtId="0" fontId="0" fillId="2" borderId="0" xfId="0" applyFill="1" applyAlignment="1">
      <alignment horizontal="center"/>
    </xf>
    <xf numFmtId="0" fontId="0" fillId="0" borderId="0" xfId="0" applyAlignment="1">
      <alignment horizontal="center"/>
    </xf>
    <xf numFmtId="0" fontId="2" fillId="3" borderId="0" xfId="0" applyFont="1" applyFill="1"/>
    <xf numFmtId="0" fontId="0" fillId="3" borderId="0" xfId="0" applyFill="1"/>
    <xf numFmtId="0" fontId="1" fillId="0" borderId="0" xfId="0" applyFont="1"/>
    <xf numFmtId="2" fontId="0" fillId="0" borderId="0" xfId="0" applyNumberFormat="1"/>
    <xf numFmtId="2" fontId="2" fillId="0" borderId="0" xfId="0" applyNumberFormat="1" applyFont="1"/>
    <xf numFmtId="0" fontId="3" fillId="0" borderId="0" xfId="0" applyFont="1"/>
    <xf numFmtId="0" fontId="4" fillId="0" borderId="0" xfId="0" applyFont="1"/>
    <xf numFmtId="0" fontId="0" fillId="3" borderId="0" xfId="0" applyFill="1" applyAlignment="1">
      <alignment horizontal="center"/>
    </xf>
    <xf numFmtId="0" fontId="5" fillId="0" borderId="0" xfId="0" applyFont="1"/>
    <xf numFmtId="0" fontId="3" fillId="0" borderId="0" xfId="0" applyFont="1" applyAlignment="1">
      <alignment horizontal="right"/>
    </xf>
    <xf numFmtId="0" fontId="4" fillId="0" borderId="0" xfId="0" applyFont="1" applyAlignment="1">
      <alignment horizontal="center"/>
    </xf>
    <xf numFmtId="0" fontId="1" fillId="0" borderId="0" xfId="0" applyFont="1" applyAlignment="1">
      <alignment horizontal="right"/>
    </xf>
    <xf numFmtId="0" fontId="1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2" fontId="6" fillId="0" borderId="0" xfId="0" applyNumberFormat="1" applyFont="1"/>
    <xf numFmtId="0" fontId="0" fillId="4" borderId="0" xfId="0" applyFill="1"/>
    <xf numFmtId="164" fontId="0" fillId="0" borderId="0" xfId="0" applyNumberFormat="1"/>
    <xf numFmtId="2" fontId="2" fillId="3" borderId="0" xfId="0" applyNumberFormat="1" applyFont="1" applyFill="1"/>
    <xf numFmtId="164" fontId="4" fillId="0" borderId="0" xfId="0" applyNumberFormat="1" applyFont="1"/>
    <xf numFmtId="2" fontId="3" fillId="0" borderId="0" xfId="0" applyNumberFormat="1" applyFont="1"/>
    <xf numFmtId="0" fontId="2" fillId="5" borderId="0" xfId="0" applyFont="1" applyFill="1"/>
    <xf numFmtId="0" fontId="3" fillId="5" borderId="0" xfId="0" applyFont="1" applyFill="1"/>
    <xf numFmtId="0" fontId="0" fillId="6" borderId="0" xfId="0" applyFill="1"/>
    <xf numFmtId="0" fontId="0" fillId="7" borderId="0" xfId="0" applyFill="1"/>
    <xf numFmtId="0" fontId="2" fillId="7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Foglio1!$E$45</c:f>
              <c:strCache>
                <c:ptCount val="1"/>
                <c:pt idx="0">
                  <c:v>Ai*tot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strRef>
              <c:f>Foglio1!$D$46:$D$57</c:f>
              <c:strCache>
                <c:ptCount val="12"/>
                <c:pt idx="0">
                  <c:v>ott</c:v>
                </c:pt>
                <c:pt idx="1">
                  <c:v>nov</c:v>
                </c:pt>
                <c:pt idx="2">
                  <c:v>dic</c:v>
                </c:pt>
                <c:pt idx="3">
                  <c:v>gen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mag</c:v>
                </c:pt>
                <c:pt idx="8">
                  <c:v>giu</c:v>
                </c:pt>
                <c:pt idx="9">
                  <c:v>lug</c:v>
                </c:pt>
                <c:pt idx="10">
                  <c:v>ago</c:v>
                </c:pt>
                <c:pt idx="11">
                  <c:v>sett</c:v>
                </c:pt>
              </c:strCache>
            </c:strRef>
          </c:xVal>
          <c:yVal>
            <c:numRef>
              <c:f>Foglio1!$E$46:$E$57</c:f>
              <c:numCache>
                <c:formatCode>General</c:formatCode>
                <c:ptCount val="12"/>
                <c:pt idx="0">
                  <c:v>2.0800000000000005</c:v>
                </c:pt>
                <c:pt idx="1">
                  <c:v>9.9400000000000013</c:v>
                </c:pt>
                <c:pt idx="2">
                  <c:v>22.89</c:v>
                </c:pt>
                <c:pt idx="3">
                  <c:v>37.21</c:v>
                </c:pt>
                <c:pt idx="4">
                  <c:v>51.370000000000005</c:v>
                </c:pt>
                <c:pt idx="5">
                  <c:v>66.690000000000012</c:v>
                </c:pt>
                <c:pt idx="6">
                  <c:v>73.54000000000002</c:v>
                </c:pt>
                <c:pt idx="7">
                  <c:v>77.440000000000026</c:v>
                </c:pt>
                <c:pt idx="8">
                  <c:v>79.750000000000028</c:v>
                </c:pt>
                <c:pt idx="9">
                  <c:v>81.210000000000022</c:v>
                </c:pt>
                <c:pt idx="10">
                  <c:v>82.310000000000016</c:v>
                </c:pt>
                <c:pt idx="11">
                  <c:v>83.660000000000011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898-4534-BF01-E5E0F6EBB437}"/>
            </c:ext>
          </c:extLst>
        </c:ser>
        <c:ser>
          <c:idx val="1"/>
          <c:order val="1"/>
          <c:tx>
            <c:strRef>
              <c:f>Foglio1!$F$45</c:f>
              <c:strCache>
                <c:ptCount val="1"/>
                <c:pt idx="0">
                  <c:v>Ei*tot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strRef>
              <c:f>Foglio1!$D$46:$D$57</c:f>
              <c:strCache>
                <c:ptCount val="12"/>
                <c:pt idx="0">
                  <c:v>ott</c:v>
                </c:pt>
                <c:pt idx="1">
                  <c:v>nov</c:v>
                </c:pt>
                <c:pt idx="2">
                  <c:v>dic</c:v>
                </c:pt>
                <c:pt idx="3">
                  <c:v>gen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mag</c:v>
                </c:pt>
                <c:pt idx="8">
                  <c:v>giu</c:v>
                </c:pt>
                <c:pt idx="9">
                  <c:v>lug</c:v>
                </c:pt>
                <c:pt idx="10">
                  <c:v>ago</c:v>
                </c:pt>
                <c:pt idx="11">
                  <c:v>sett</c:v>
                </c:pt>
              </c:strCache>
            </c:strRef>
          </c:xVal>
          <c:yVal>
            <c:numRef>
              <c:f>Foglio1!$F$46:$F$57</c:f>
              <c:numCache>
                <c:formatCode>General</c:formatCode>
                <c:ptCount val="12"/>
                <c:pt idx="0">
                  <c:v>2.5</c:v>
                </c:pt>
                <c:pt idx="1">
                  <c:v>5</c:v>
                </c:pt>
                <c:pt idx="2">
                  <c:v>7.5</c:v>
                </c:pt>
                <c:pt idx="3">
                  <c:v>10</c:v>
                </c:pt>
                <c:pt idx="4">
                  <c:v>12.5</c:v>
                </c:pt>
                <c:pt idx="5">
                  <c:v>15</c:v>
                </c:pt>
                <c:pt idx="6">
                  <c:v>17.5</c:v>
                </c:pt>
                <c:pt idx="7">
                  <c:v>20</c:v>
                </c:pt>
                <c:pt idx="8">
                  <c:v>22.5</c:v>
                </c:pt>
                <c:pt idx="9">
                  <c:v>25</c:v>
                </c:pt>
                <c:pt idx="10">
                  <c:v>27.5</c:v>
                </c:pt>
                <c:pt idx="11">
                  <c:v>30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898-4534-BF01-E5E0F6EBB437}"/>
            </c:ext>
          </c:extLst>
        </c:ser>
        <c:ser>
          <c:idx val="2"/>
          <c:order val="2"/>
          <c:tx>
            <c:strRef>
              <c:f>Foglio1!$G$45</c:f>
              <c:strCache>
                <c:ptCount val="1"/>
                <c:pt idx="0">
                  <c:v>Wi*(a)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strRef>
              <c:f>Foglio1!$D$46:$D$57</c:f>
              <c:strCache>
                <c:ptCount val="12"/>
                <c:pt idx="0">
                  <c:v>ott</c:v>
                </c:pt>
                <c:pt idx="1">
                  <c:v>nov</c:v>
                </c:pt>
                <c:pt idx="2">
                  <c:v>dic</c:v>
                </c:pt>
                <c:pt idx="3">
                  <c:v>gen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mag</c:v>
                </c:pt>
                <c:pt idx="8">
                  <c:v>giu</c:v>
                </c:pt>
                <c:pt idx="9">
                  <c:v>lug</c:v>
                </c:pt>
                <c:pt idx="10">
                  <c:v>ago</c:v>
                </c:pt>
                <c:pt idx="11">
                  <c:v>sett</c:v>
                </c:pt>
              </c:strCache>
            </c:strRef>
          </c:xVal>
          <c:yVal>
            <c:numRef>
              <c:f>Foglio1!$G$46:$G$57</c:f>
              <c:numCache>
                <c:formatCode>General</c:formatCode>
                <c:ptCount val="12"/>
                <c:pt idx="0">
                  <c:v>18.080000000000002</c:v>
                </c:pt>
                <c:pt idx="1">
                  <c:v>23.44</c:v>
                </c:pt>
                <c:pt idx="2">
                  <c:v>33.89</c:v>
                </c:pt>
                <c:pt idx="3">
                  <c:v>45.710000000000008</c:v>
                </c:pt>
                <c:pt idx="4">
                  <c:v>57.370000000000005</c:v>
                </c:pt>
                <c:pt idx="5">
                  <c:v>70.190000000000012</c:v>
                </c:pt>
                <c:pt idx="6">
                  <c:v>74.54000000000002</c:v>
                </c:pt>
                <c:pt idx="7">
                  <c:v>75.940000000000012</c:v>
                </c:pt>
                <c:pt idx="8">
                  <c:v>75.750000000000014</c:v>
                </c:pt>
                <c:pt idx="9">
                  <c:v>74.710000000000008</c:v>
                </c:pt>
                <c:pt idx="10">
                  <c:v>73.310000000000016</c:v>
                </c:pt>
                <c:pt idx="11">
                  <c:v>72.160000000000025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898-4534-BF01-E5E0F6EBB437}"/>
            </c:ext>
          </c:extLst>
        </c:ser>
        <c:ser>
          <c:idx val="3"/>
          <c:order val="3"/>
          <c:tx>
            <c:strRef>
              <c:f>Foglio1!$H$45</c:f>
              <c:strCache>
                <c:ptCount val="1"/>
                <c:pt idx="0">
                  <c:v>Sfi(a)*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strRef>
              <c:f>Foglio1!$D$46:$D$57</c:f>
              <c:strCache>
                <c:ptCount val="12"/>
                <c:pt idx="0">
                  <c:v>ott</c:v>
                </c:pt>
                <c:pt idx="1">
                  <c:v>nov</c:v>
                </c:pt>
                <c:pt idx="2">
                  <c:v>dic</c:v>
                </c:pt>
                <c:pt idx="3">
                  <c:v>gen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mag</c:v>
                </c:pt>
                <c:pt idx="8">
                  <c:v>giu</c:v>
                </c:pt>
                <c:pt idx="9">
                  <c:v>lug</c:v>
                </c:pt>
                <c:pt idx="10">
                  <c:v>ago</c:v>
                </c:pt>
                <c:pt idx="11">
                  <c:v>sett</c:v>
                </c:pt>
              </c:strCache>
            </c:strRef>
          </c:xVal>
          <c:yVal>
            <c:numRef>
              <c:f>Foglio1!$H$46:$H$57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4.3500000000000014</c:v>
                </c:pt>
                <c:pt idx="7">
                  <c:v>5.7500000000000018</c:v>
                </c:pt>
                <c:pt idx="8">
                  <c:v>5.7500000000000018</c:v>
                </c:pt>
                <c:pt idx="9">
                  <c:v>5.7500000000000018</c:v>
                </c:pt>
                <c:pt idx="10">
                  <c:v>5.7500000000000018</c:v>
                </c:pt>
                <c:pt idx="11">
                  <c:v>5.7500000000000018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3898-4534-BF01-E5E0F6EBB437}"/>
            </c:ext>
          </c:extLst>
        </c:ser>
        <c:ser>
          <c:idx val="4"/>
          <c:order val="4"/>
          <c:tx>
            <c:strRef>
              <c:f>Foglio1!$I$45</c:f>
              <c:strCache>
                <c:ptCount val="1"/>
                <c:pt idx="0">
                  <c:v>S/Di(a)*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strRef>
              <c:f>Foglio1!$D$46:$D$57</c:f>
              <c:strCache>
                <c:ptCount val="12"/>
                <c:pt idx="0">
                  <c:v>ott</c:v>
                </c:pt>
                <c:pt idx="1">
                  <c:v>nov</c:v>
                </c:pt>
                <c:pt idx="2">
                  <c:v>dic</c:v>
                </c:pt>
                <c:pt idx="3">
                  <c:v>gen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mag</c:v>
                </c:pt>
                <c:pt idx="8">
                  <c:v>giu</c:v>
                </c:pt>
                <c:pt idx="9">
                  <c:v>lug</c:v>
                </c:pt>
                <c:pt idx="10">
                  <c:v>ago</c:v>
                </c:pt>
                <c:pt idx="11">
                  <c:v>sett</c:v>
                </c:pt>
              </c:strCache>
            </c:strRef>
          </c:xVal>
          <c:yVal>
            <c:numRef>
              <c:f>Foglio1!$I$46:$I$57</c:f>
              <c:numCache>
                <c:formatCode>General</c:formatCode>
                <c:ptCount val="12"/>
                <c:pt idx="0">
                  <c:v>-0.41999999999999948</c:v>
                </c:pt>
                <c:pt idx="1">
                  <c:v>4.9400000000000013</c:v>
                </c:pt>
                <c:pt idx="2">
                  <c:v>15.390000000000002</c:v>
                </c:pt>
                <c:pt idx="3">
                  <c:v>27.210000000000004</c:v>
                </c:pt>
                <c:pt idx="4">
                  <c:v>38.870000000000005</c:v>
                </c:pt>
                <c:pt idx="5">
                  <c:v>51.690000000000012</c:v>
                </c:pt>
                <c:pt idx="6">
                  <c:v>51.690000000000012</c:v>
                </c:pt>
                <c:pt idx="7">
                  <c:v>51.690000000000012</c:v>
                </c:pt>
                <c:pt idx="8">
                  <c:v>51.500000000000014</c:v>
                </c:pt>
                <c:pt idx="9">
                  <c:v>50.460000000000015</c:v>
                </c:pt>
                <c:pt idx="10">
                  <c:v>49.060000000000016</c:v>
                </c:pt>
                <c:pt idx="11">
                  <c:v>47.910000000000018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3898-4534-BF01-E5E0F6EBB437}"/>
            </c:ext>
          </c:extLst>
        </c:ser>
        <c:ser>
          <c:idx val="5"/>
          <c:order val="5"/>
          <c:tx>
            <c:strRef>
              <c:f>Foglio1!$J$45</c:f>
              <c:strCache>
                <c:ptCount val="1"/>
                <c:pt idx="0">
                  <c:v>Wdiga</c:v>
                </c:pt>
              </c:strCache>
            </c:strRef>
          </c:tx>
          <c:spPr>
            <a:ln w="19050" cap="rnd">
              <a:solidFill>
                <a:schemeClr val="accent6"/>
              </a:solidFill>
              <a:prstDash val="dash"/>
              <a:round/>
            </a:ln>
            <a:effectLst/>
          </c:spPr>
          <c:marker>
            <c:symbol val="none"/>
          </c:marker>
          <c:xVal>
            <c:strRef>
              <c:f>Foglio1!$D$46:$D$57</c:f>
              <c:strCache>
                <c:ptCount val="12"/>
                <c:pt idx="0">
                  <c:v>ott</c:v>
                </c:pt>
                <c:pt idx="1">
                  <c:v>nov</c:v>
                </c:pt>
                <c:pt idx="2">
                  <c:v>dic</c:v>
                </c:pt>
                <c:pt idx="3">
                  <c:v>gen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mag</c:v>
                </c:pt>
                <c:pt idx="8">
                  <c:v>giu</c:v>
                </c:pt>
                <c:pt idx="9">
                  <c:v>lug</c:v>
                </c:pt>
                <c:pt idx="10">
                  <c:v>ago</c:v>
                </c:pt>
                <c:pt idx="11">
                  <c:v>sett</c:v>
                </c:pt>
              </c:strCache>
            </c:strRef>
          </c:xVal>
          <c:yVal>
            <c:numRef>
              <c:f>Foglio1!$J$46:$J$57</c:f>
              <c:numCache>
                <c:formatCode>General</c:formatCode>
                <c:ptCount val="12"/>
                <c:pt idx="0">
                  <c:v>74</c:v>
                </c:pt>
                <c:pt idx="1">
                  <c:v>74</c:v>
                </c:pt>
                <c:pt idx="2">
                  <c:v>74</c:v>
                </c:pt>
                <c:pt idx="3">
                  <c:v>74</c:v>
                </c:pt>
                <c:pt idx="4">
                  <c:v>74</c:v>
                </c:pt>
                <c:pt idx="5">
                  <c:v>74</c:v>
                </c:pt>
                <c:pt idx="6">
                  <c:v>74</c:v>
                </c:pt>
                <c:pt idx="7">
                  <c:v>74</c:v>
                </c:pt>
                <c:pt idx="8">
                  <c:v>74</c:v>
                </c:pt>
                <c:pt idx="9">
                  <c:v>74</c:v>
                </c:pt>
                <c:pt idx="10">
                  <c:v>74</c:v>
                </c:pt>
                <c:pt idx="11">
                  <c:v>74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3898-4534-BF01-E5E0F6EBB437}"/>
            </c:ext>
          </c:extLst>
        </c:ser>
        <c:ser>
          <c:idx val="6"/>
          <c:order val="6"/>
          <c:tx>
            <c:strRef>
              <c:f>Foglio1!$K$45</c:f>
              <c:strCache>
                <c:ptCount val="1"/>
                <c:pt idx="0">
                  <c:v>Wo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prstDash val="dash"/>
              <a:round/>
            </a:ln>
            <a:effectLst/>
          </c:spPr>
          <c:marker>
            <c:symbol val="none"/>
          </c:marker>
          <c:xVal>
            <c:strRef>
              <c:f>Foglio1!$D$46:$D$57</c:f>
              <c:strCache>
                <c:ptCount val="12"/>
                <c:pt idx="0">
                  <c:v>ott</c:v>
                </c:pt>
                <c:pt idx="1">
                  <c:v>nov</c:v>
                </c:pt>
                <c:pt idx="2">
                  <c:v>dic</c:v>
                </c:pt>
                <c:pt idx="3">
                  <c:v>gen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mag</c:v>
                </c:pt>
                <c:pt idx="8">
                  <c:v>giu</c:v>
                </c:pt>
                <c:pt idx="9">
                  <c:v>lug</c:v>
                </c:pt>
                <c:pt idx="10">
                  <c:v>ago</c:v>
                </c:pt>
                <c:pt idx="11">
                  <c:v>sett</c:v>
                </c:pt>
              </c:strCache>
            </c:strRef>
          </c:xVal>
          <c:yVal>
            <c:numRef>
              <c:f>Foglio1!$K$46:$K$57</c:f>
              <c:numCache>
                <c:formatCode>General</c:formatCode>
                <c:ptCount val="12"/>
                <c:pt idx="0">
                  <c:v>18.5</c:v>
                </c:pt>
                <c:pt idx="1">
                  <c:v>18.5</c:v>
                </c:pt>
                <c:pt idx="2">
                  <c:v>18.5</c:v>
                </c:pt>
                <c:pt idx="3">
                  <c:v>18.5</c:v>
                </c:pt>
                <c:pt idx="4">
                  <c:v>18.5</c:v>
                </c:pt>
                <c:pt idx="5">
                  <c:v>18.5</c:v>
                </c:pt>
                <c:pt idx="6">
                  <c:v>18.5</c:v>
                </c:pt>
                <c:pt idx="7">
                  <c:v>18.5</c:v>
                </c:pt>
                <c:pt idx="8">
                  <c:v>18.5</c:v>
                </c:pt>
                <c:pt idx="9">
                  <c:v>18.5</c:v>
                </c:pt>
                <c:pt idx="10">
                  <c:v>18.5</c:v>
                </c:pt>
                <c:pt idx="11">
                  <c:v>18.5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3898-4534-BF01-E5E0F6EBB4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87694575"/>
        <c:axId val="2087695535"/>
      </c:scatterChart>
      <c:valAx>
        <c:axId val="2087694575"/>
        <c:scaling>
          <c:orientation val="minMax"/>
          <c:min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IT"/>
          </a:p>
        </c:txPr>
        <c:crossAx val="2087695535"/>
        <c:crosses val="autoZero"/>
        <c:crossBetween val="midCat"/>
        <c:majorUnit val="1"/>
      </c:valAx>
      <c:valAx>
        <c:axId val="20876955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IT"/>
          </a:p>
        </c:txPr>
        <c:crossAx val="208769457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IT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T"/>
        </a:p>
      </c:txPr>
    </c:title>
    <c:autoTitleDeleted val="0"/>
    <c:plotArea>
      <c:layout>
        <c:manualLayout>
          <c:layoutTarget val="inner"/>
          <c:xMode val="edge"/>
          <c:yMode val="edge"/>
          <c:x val="7.6358705161854765E-2"/>
          <c:y val="0.16708333333333336"/>
          <c:w val="0.87764129483814524"/>
          <c:h val="0.60027668416447943"/>
        </c:manualLayout>
      </c:layout>
      <c:scatterChart>
        <c:scatterStyle val="lineMarker"/>
        <c:varyColors val="0"/>
        <c:ser>
          <c:idx val="0"/>
          <c:order val="0"/>
          <c:tx>
            <c:strRef>
              <c:f>Foglio1!$E$60</c:f>
              <c:strCache>
                <c:ptCount val="1"/>
                <c:pt idx="0">
                  <c:v>Ai*tot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strRef>
              <c:f>Foglio1!$D$61:$D$72</c:f>
              <c:strCache>
                <c:ptCount val="12"/>
                <c:pt idx="0">
                  <c:v>ott</c:v>
                </c:pt>
                <c:pt idx="1">
                  <c:v>nov</c:v>
                </c:pt>
                <c:pt idx="2">
                  <c:v>dic</c:v>
                </c:pt>
                <c:pt idx="3">
                  <c:v>gen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mag</c:v>
                </c:pt>
                <c:pt idx="8">
                  <c:v>giu</c:v>
                </c:pt>
                <c:pt idx="9">
                  <c:v>lug</c:v>
                </c:pt>
                <c:pt idx="10">
                  <c:v>ago</c:v>
                </c:pt>
                <c:pt idx="11">
                  <c:v>sett</c:v>
                </c:pt>
              </c:strCache>
            </c:strRef>
          </c:xVal>
          <c:yVal>
            <c:numRef>
              <c:f>Foglio1!$E$61:$E$72</c:f>
              <c:numCache>
                <c:formatCode>General</c:formatCode>
                <c:ptCount val="12"/>
                <c:pt idx="0">
                  <c:v>2.0800000000000005</c:v>
                </c:pt>
                <c:pt idx="1">
                  <c:v>9.9400000000000013</c:v>
                </c:pt>
                <c:pt idx="2">
                  <c:v>22.89</c:v>
                </c:pt>
                <c:pt idx="3">
                  <c:v>37.21</c:v>
                </c:pt>
                <c:pt idx="4">
                  <c:v>51.370000000000005</c:v>
                </c:pt>
                <c:pt idx="5">
                  <c:v>66.690000000000012</c:v>
                </c:pt>
                <c:pt idx="6">
                  <c:v>73.54000000000002</c:v>
                </c:pt>
                <c:pt idx="7">
                  <c:v>77.440000000000026</c:v>
                </c:pt>
                <c:pt idx="8">
                  <c:v>79.750000000000028</c:v>
                </c:pt>
                <c:pt idx="9">
                  <c:v>81.210000000000022</c:v>
                </c:pt>
                <c:pt idx="10">
                  <c:v>82.310000000000016</c:v>
                </c:pt>
                <c:pt idx="11">
                  <c:v>83.660000000000011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EEB-4184-99F8-42CB9B94E8A5}"/>
            </c:ext>
          </c:extLst>
        </c:ser>
        <c:ser>
          <c:idx val="1"/>
          <c:order val="1"/>
          <c:tx>
            <c:strRef>
              <c:f>Foglio1!$F$60</c:f>
              <c:strCache>
                <c:ptCount val="1"/>
                <c:pt idx="0">
                  <c:v>Ei*tot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strRef>
              <c:f>Foglio1!$D$61:$D$72</c:f>
              <c:strCache>
                <c:ptCount val="12"/>
                <c:pt idx="0">
                  <c:v>ott</c:v>
                </c:pt>
                <c:pt idx="1">
                  <c:v>nov</c:v>
                </c:pt>
                <c:pt idx="2">
                  <c:v>dic</c:v>
                </c:pt>
                <c:pt idx="3">
                  <c:v>gen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mag</c:v>
                </c:pt>
                <c:pt idx="8">
                  <c:v>giu</c:v>
                </c:pt>
                <c:pt idx="9">
                  <c:v>lug</c:v>
                </c:pt>
                <c:pt idx="10">
                  <c:v>ago</c:v>
                </c:pt>
                <c:pt idx="11">
                  <c:v>sett</c:v>
                </c:pt>
              </c:strCache>
            </c:strRef>
          </c:xVal>
          <c:yVal>
            <c:numRef>
              <c:f>Foglio1!$F$61:$F$72</c:f>
              <c:numCache>
                <c:formatCode>General</c:formatCode>
                <c:ptCount val="12"/>
                <c:pt idx="0">
                  <c:v>2.5</c:v>
                </c:pt>
                <c:pt idx="1">
                  <c:v>5</c:v>
                </c:pt>
                <c:pt idx="2">
                  <c:v>7.5</c:v>
                </c:pt>
                <c:pt idx="3">
                  <c:v>10</c:v>
                </c:pt>
                <c:pt idx="4">
                  <c:v>12.5</c:v>
                </c:pt>
                <c:pt idx="5">
                  <c:v>15</c:v>
                </c:pt>
                <c:pt idx="6">
                  <c:v>17.5</c:v>
                </c:pt>
                <c:pt idx="7">
                  <c:v>20</c:v>
                </c:pt>
                <c:pt idx="8">
                  <c:v>22.5</c:v>
                </c:pt>
                <c:pt idx="9">
                  <c:v>25</c:v>
                </c:pt>
                <c:pt idx="10">
                  <c:v>27.5</c:v>
                </c:pt>
                <c:pt idx="11">
                  <c:v>30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EEB-4184-99F8-42CB9B94E8A5}"/>
            </c:ext>
          </c:extLst>
        </c:ser>
        <c:ser>
          <c:idx val="2"/>
          <c:order val="2"/>
          <c:tx>
            <c:strRef>
              <c:f>Foglio1!$G$60</c:f>
              <c:strCache>
                <c:ptCount val="1"/>
                <c:pt idx="0">
                  <c:v>Wi*(b)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strRef>
              <c:f>Foglio1!$D$61:$D$72</c:f>
              <c:strCache>
                <c:ptCount val="12"/>
                <c:pt idx="0">
                  <c:v>ott</c:v>
                </c:pt>
                <c:pt idx="1">
                  <c:v>nov</c:v>
                </c:pt>
                <c:pt idx="2">
                  <c:v>dic</c:v>
                </c:pt>
                <c:pt idx="3">
                  <c:v>gen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mag</c:v>
                </c:pt>
                <c:pt idx="8">
                  <c:v>giu</c:v>
                </c:pt>
                <c:pt idx="9">
                  <c:v>lug</c:v>
                </c:pt>
                <c:pt idx="10">
                  <c:v>ago</c:v>
                </c:pt>
                <c:pt idx="11">
                  <c:v>sett</c:v>
                </c:pt>
              </c:strCache>
            </c:strRef>
          </c:xVal>
          <c:yVal>
            <c:numRef>
              <c:f>Foglio1!$G$61:$G$72</c:f>
              <c:numCache>
                <c:formatCode>General</c:formatCode>
                <c:ptCount val="12"/>
                <c:pt idx="0">
                  <c:v>18.080000000000002</c:v>
                </c:pt>
                <c:pt idx="1">
                  <c:v>23.44</c:v>
                </c:pt>
                <c:pt idx="2">
                  <c:v>33.89</c:v>
                </c:pt>
                <c:pt idx="3">
                  <c:v>45.710000000000008</c:v>
                </c:pt>
                <c:pt idx="4">
                  <c:v>47</c:v>
                </c:pt>
                <c:pt idx="5">
                  <c:v>47</c:v>
                </c:pt>
                <c:pt idx="6">
                  <c:v>47</c:v>
                </c:pt>
                <c:pt idx="7">
                  <c:v>47</c:v>
                </c:pt>
                <c:pt idx="8">
                  <c:v>47</c:v>
                </c:pt>
                <c:pt idx="9">
                  <c:v>47</c:v>
                </c:pt>
                <c:pt idx="10">
                  <c:v>47</c:v>
                </c:pt>
                <c:pt idx="11">
                  <c:v>47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8EEB-4184-99F8-42CB9B94E8A5}"/>
            </c:ext>
          </c:extLst>
        </c:ser>
        <c:ser>
          <c:idx val="3"/>
          <c:order val="3"/>
          <c:tx>
            <c:strRef>
              <c:f>Foglio1!$H$60</c:f>
              <c:strCache>
                <c:ptCount val="1"/>
                <c:pt idx="0">
                  <c:v>Sfi(b)*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strRef>
              <c:f>Foglio1!$D$61:$D$72</c:f>
              <c:strCache>
                <c:ptCount val="12"/>
                <c:pt idx="0">
                  <c:v>ott</c:v>
                </c:pt>
                <c:pt idx="1">
                  <c:v>nov</c:v>
                </c:pt>
                <c:pt idx="2">
                  <c:v>dic</c:v>
                </c:pt>
                <c:pt idx="3">
                  <c:v>gen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mag</c:v>
                </c:pt>
                <c:pt idx="8">
                  <c:v>giu</c:v>
                </c:pt>
                <c:pt idx="9">
                  <c:v>lug</c:v>
                </c:pt>
                <c:pt idx="10">
                  <c:v>ago</c:v>
                </c:pt>
                <c:pt idx="11">
                  <c:v>sett</c:v>
                </c:pt>
              </c:strCache>
            </c:strRef>
          </c:xVal>
          <c:yVal>
            <c:numRef>
              <c:f>Foglio1!$H$61:$H$72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11.660000000000004</c:v>
                </c:pt>
                <c:pt idx="5">
                  <c:v>24.480000000000008</c:v>
                </c:pt>
                <c:pt idx="6">
                  <c:v>28.830000000000009</c:v>
                </c:pt>
                <c:pt idx="7">
                  <c:v>30.230000000000011</c:v>
                </c:pt>
                <c:pt idx="8">
                  <c:v>30.230000000000011</c:v>
                </c:pt>
                <c:pt idx="9">
                  <c:v>30.230000000000011</c:v>
                </c:pt>
                <c:pt idx="10">
                  <c:v>30.230000000000011</c:v>
                </c:pt>
                <c:pt idx="11">
                  <c:v>30.230000000000011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8EEB-4184-99F8-42CB9B94E8A5}"/>
            </c:ext>
          </c:extLst>
        </c:ser>
        <c:ser>
          <c:idx val="4"/>
          <c:order val="4"/>
          <c:tx>
            <c:strRef>
              <c:f>Foglio1!$I$60</c:f>
              <c:strCache>
                <c:ptCount val="1"/>
                <c:pt idx="0">
                  <c:v>S/Dib)*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strRef>
              <c:f>Foglio1!$D$61:$D$72</c:f>
              <c:strCache>
                <c:ptCount val="12"/>
                <c:pt idx="0">
                  <c:v>ott</c:v>
                </c:pt>
                <c:pt idx="1">
                  <c:v>nov</c:v>
                </c:pt>
                <c:pt idx="2">
                  <c:v>dic</c:v>
                </c:pt>
                <c:pt idx="3">
                  <c:v>gen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mag</c:v>
                </c:pt>
                <c:pt idx="8">
                  <c:v>giu</c:v>
                </c:pt>
                <c:pt idx="9">
                  <c:v>lug</c:v>
                </c:pt>
                <c:pt idx="10">
                  <c:v>ago</c:v>
                </c:pt>
                <c:pt idx="11">
                  <c:v>sett</c:v>
                </c:pt>
              </c:strCache>
            </c:strRef>
          </c:xVal>
          <c:yVal>
            <c:numRef>
              <c:f>Foglio1!$I$61:$I$72</c:f>
              <c:numCache>
                <c:formatCode>General</c:formatCode>
                <c:ptCount val="12"/>
                <c:pt idx="0">
                  <c:v>-0.41999999999999948</c:v>
                </c:pt>
                <c:pt idx="1">
                  <c:v>4.9400000000000013</c:v>
                </c:pt>
                <c:pt idx="2">
                  <c:v>15.390000000000002</c:v>
                </c:pt>
                <c:pt idx="3">
                  <c:v>27.210000000000004</c:v>
                </c:pt>
                <c:pt idx="4">
                  <c:v>27.210000000000004</c:v>
                </c:pt>
                <c:pt idx="5">
                  <c:v>27.210000000000004</c:v>
                </c:pt>
                <c:pt idx="6">
                  <c:v>27.210000000000004</c:v>
                </c:pt>
                <c:pt idx="7">
                  <c:v>27.210000000000004</c:v>
                </c:pt>
                <c:pt idx="8">
                  <c:v>27.020000000000003</c:v>
                </c:pt>
                <c:pt idx="9">
                  <c:v>25.980000000000004</c:v>
                </c:pt>
                <c:pt idx="10">
                  <c:v>24.580000000000005</c:v>
                </c:pt>
                <c:pt idx="11">
                  <c:v>23.430000000000007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8EEB-4184-99F8-42CB9B94E8A5}"/>
            </c:ext>
          </c:extLst>
        </c:ser>
        <c:ser>
          <c:idx val="5"/>
          <c:order val="5"/>
          <c:tx>
            <c:strRef>
              <c:f>Foglio1!$J$60</c:f>
              <c:strCache>
                <c:ptCount val="1"/>
                <c:pt idx="0">
                  <c:v>Wdiga</c:v>
                </c:pt>
              </c:strCache>
            </c:strRef>
          </c:tx>
          <c:spPr>
            <a:ln w="19050" cap="rnd">
              <a:solidFill>
                <a:schemeClr val="accent6"/>
              </a:solidFill>
              <a:prstDash val="dash"/>
              <a:round/>
            </a:ln>
            <a:effectLst/>
          </c:spPr>
          <c:marker>
            <c:symbol val="none"/>
          </c:marker>
          <c:xVal>
            <c:strRef>
              <c:f>Foglio1!$D$61:$D$72</c:f>
              <c:strCache>
                <c:ptCount val="12"/>
                <c:pt idx="0">
                  <c:v>ott</c:v>
                </c:pt>
                <c:pt idx="1">
                  <c:v>nov</c:v>
                </c:pt>
                <c:pt idx="2">
                  <c:v>dic</c:v>
                </c:pt>
                <c:pt idx="3">
                  <c:v>gen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mag</c:v>
                </c:pt>
                <c:pt idx="8">
                  <c:v>giu</c:v>
                </c:pt>
                <c:pt idx="9">
                  <c:v>lug</c:v>
                </c:pt>
                <c:pt idx="10">
                  <c:v>ago</c:v>
                </c:pt>
                <c:pt idx="11">
                  <c:v>sett</c:v>
                </c:pt>
              </c:strCache>
            </c:strRef>
          </c:xVal>
          <c:yVal>
            <c:numRef>
              <c:f>Foglio1!$J$61:$J$72</c:f>
              <c:numCache>
                <c:formatCode>General</c:formatCode>
                <c:ptCount val="12"/>
                <c:pt idx="0">
                  <c:v>47</c:v>
                </c:pt>
                <c:pt idx="1">
                  <c:v>47</c:v>
                </c:pt>
                <c:pt idx="2">
                  <c:v>47</c:v>
                </c:pt>
                <c:pt idx="3">
                  <c:v>47</c:v>
                </c:pt>
                <c:pt idx="4">
                  <c:v>47</c:v>
                </c:pt>
                <c:pt idx="5">
                  <c:v>47</c:v>
                </c:pt>
                <c:pt idx="6">
                  <c:v>47</c:v>
                </c:pt>
                <c:pt idx="7">
                  <c:v>47</c:v>
                </c:pt>
                <c:pt idx="8">
                  <c:v>47</c:v>
                </c:pt>
                <c:pt idx="9">
                  <c:v>47</c:v>
                </c:pt>
                <c:pt idx="10">
                  <c:v>47</c:v>
                </c:pt>
                <c:pt idx="11">
                  <c:v>47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8EEB-4184-99F8-42CB9B94E8A5}"/>
            </c:ext>
          </c:extLst>
        </c:ser>
        <c:ser>
          <c:idx val="6"/>
          <c:order val="6"/>
          <c:tx>
            <c:strRef>
              <c:f>Foglio1!$K$60</c:f>
              <c:strCache>
                <c:ptCount val="1"/>
                <c:pt idx="0">
                  <c:v>Wo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prstDash val="dash"/>
              <a:round/>
            </a:ln>
            <a:effectLst/>
          </c:spPr>
          <c:marker>
            <c:symbol val="none"/>
          </c:marker>
          <c:xVal>
            <c:strRef>
              <c:f>Foglio1!$D$61:$D$72</c:f>
              <c:strCache>
                <c:ptCount val="12"/>
                <c:pt idx="0">
                  <c:v>ott</c:v>
                </c:pt>
                <c:pt idx="1">
                  <c:v>nov</c:v>
                </c:pt>
                <c:pt idx="2">
                  <c:v>dic</c:v>
                </c:pt>
                <c:pt idx="3">
                  <c:v>gen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mag</c:v>
                </c:pt>
                <c:pt idx="8">
                  <c:v>giu</c:v>
                </c:pt>
                <c:pt idx="9">
                  <c:v>lug</c:v>
                </c:pt>
                <c:pt idx="10">
                  <c:v>ago</c:v>
                </c:pt>
                <c:pt idx="11">
                  <c:v>sett</c:v>
                </c:pt>
              </c:strCache>
            </c:strRef>
          </c:xVal>
          <c:yVal>
            <c:numRef>
              <c:f>Foglio1!$K$61:$K$72</c:f>
              <c:numCache>
                <c:formatCode>General</c:formatCode>
                <c:ptCount val="12"/>
                <c:pt idx="0">
                  <c:v>18.5</c:v>
                </c:pt>
                <c:pt idx="1">
                  <c:v>18.5</c:v>
                </c:pt>
                <c:pt idx="2">
                  <c:v>18.5</c:v>
                </c:pt>
                <c:pt idx="3">
                  <c:v>18.5</c:v>
                </c:pt>
                <c:pt idx="4">
                  <c:v>18.5</c:v>
                </c:pt>
                <c:pt idx="5">
                  <c:v>18.5</c:v>
                </c:pt>
                <c:pt idx="6">
                  <c:v>18.5</c:v>
                </c:pt>
                <c:pt idx="7">
                  <c:v>18.5</c:v>
                </c:pt>
                <c:pt idx="8">
                  <c:v>18.5</c:v>
                </c:pt>
                <c:pt idx="9">
                  <c:v>18.5</c:v>
                </c:pt>
                <c:pt idx="10">
                  <c:v>18.5</c:v>
                </c:pt>
                <c:pt idx="11">
                  <c:v>18.5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8EEB-4184-99F8-42CB9B94E8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94212479"/>
        <c:axId val="1994211999"/>
      </c:scatterChart>
      <c:valAx>
        <c:axId val="1994212479"/>
        <c:scaling>
          <c:orientation val="minMax"/>
          <c:min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IT"/>
          </a:p>
        </c:txPr>
        <c:crossAx val="1994211999"/>
        <c:crosses val="autoZero"/>
        <c:crossBetween val="midCat"/>
        <c:majorUnit val="1"/>
      </c:valAx>
      <c:valAx>
        <c:axId val="19942119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IT"/>
          </a:p>
        </c:txPr>
        <c:crossAx val="199421247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IT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Foglio1!$E$120</c:f>
              <c:strCache>
                <c:ptCount val="1"/>
                <c:pt idx="0">
                  <c:v>Ai*tot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strRef>
              <c:f>Foglio1!$D$121:$D$132</c:f>
              <c:strCache>
                <c:ptCount val="12"/>
                <c:pt idx="0">
                  <c:v>ott</c:v>
                </c:pt>
                <c:pt idx="1">
                  <c:v>nov</c:v>
                </c:pt>
                <c:pt idx="2">
                  <c:v>dic</c:v>
                </c:pt>
                <c:pt idx="3">
                  <c:v>gen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mag</c:v>
                </c:pt>
                <c:pt idx="8">
                  <c:v>giu</c:v>
                </c:pt>
                <c:pt idx="9">
                  <c:v>lug</c:v>
                </c:pt>
                <c:pt idx="10">
                  <c:v>ago</c:v>
                </c:pt>
                <c:pt idx="11">
                  <c:v>sett</c:v>
                </c:pt>
              </c:strCache>
            </c:strRef>
          </c:xVal>
          <c:yVal>
            <c:numRef>
              <c:f>Foglio1!$E$121:$E$132</c:f>
              <c:numCache>
                <c:formatCode>0.00</c:formatCode>
                <c:ptCount val="12"/>
                <c:pt idx="0">
                  <c:v>2.0800000000000005</c:v>
                </c:pt>
                <c:pt idx="1">
                  <c:v>9.9400000000000013</c:v>
                </c:pt>
                <c:pt idx="2">
                  <c:v>22.89</c:v>
                </c:pt>
                <c:pt idx="3">
                  <c:v>37.21</c:v>
                </c:pt>
                <c:pt idx="4">
                  <c:v>51.370000000000005</c:v>
                </c:pt>
                <c:pt idx="5">
                  <c:v>66.690000000000012</c:v>
                </c:pt>
                <c:pt idx="6">
                  <c:v>73.54000000000002</c:v>
                </c:pt>
                <c:pt idx="7">
                  <c:v>77.440000000000026</c:v>
                </c:pt>
                <c:pt idx="8">
                  <c:v>79.750000000000028</c:v>
                </c:pt>
                <c:pt idx="9">
                  <c:v>81.210000000000022</c:v>
                </c:pt>
                <c:pt idx="10">
                  <c:v>82.310000000000016</c:v>
                </c:pt>
                <c:pt idx="11">
                  <c:v>83.660000000000011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3DE-42B8-A625-47D64897E507}"/>
            </c:ext>
          </c:extLst>
        </c:ser>
        <c:ser>
          <c:idx val="1"/>
          <c:order val="1"/>
          <c:tx>
            <c:strRef>
              <c:f>Foglio1!$F$120</c:f>
              <c:strCache>
                <c:ptCount val="1"/>
                <c:pt idx="0">
                  <c:v>Ei*tot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strRef>
              <c:f>Foglio1!$D$121:$D$132</c:f>
              <c:strCache>
                <c:ptCount val="12"/>
                <c:pt idx="0">
                  <c:v>ott</c:v>
                </c:pt>
                <c:pt idx="1">
                  <c:v>nov</c:v>
                </c:pt>
                <c:pt idx="2">
                  <c:v>dic</c:v>
                </c:pt>
                <c:pt idx="3">
                  <c:v>gen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mag</c:v>
                </c:pt>
                <c:pt idx="8">
                  <c:v>giu</c:v>
                </c:pt>
                <c:pt idx="9">
                  <c:v>lug</c:v>
                </c:pt>
                <c:pt idx="10">
                  <c:v>ago</c:v>
                </c:pt>
                <c:pt idx="11">
                  <c:v>sett</c:v>
                </c:pt>
              </c:strCache>
            </c:strRef>
          </c:xVal>
          <c:yVal>
            <c:numRef>
              <c:f>Foglio1!$F$121:$F$132</c:f>
              <c:numCache>
                <c:formatCode>0.00</c:formatCode>
                <c:ptCount val="12"/>
                <c:pt idx="0">
                  <c:v>6.9716666666666685</c:v>
                </c:pt>
                <c:pt idx="1">
                  <c:v>13.943333333333337</c:v>
                </c:pt>
                <c:pt idx="2">
                  <c:v>20.915000000000006</c:v>
                </c:pt>
                <c:pt idx="3">
                  <c:v>27.886666666666674</c:v>
                </c:pt>
                <c:pt idx="4">
                  <c:v>34.858333333333341</c:v>
                </c:pt>
                <c:pt idx="5">
                  <c:v>41.830000000000013</c:v>
                </c:pt>
                <c:pt idx="6">
                  <c:v>48.801666666666684</c:v>
                </c:pt>
                <c:pt idx="7">
                  <c:v>55.773333333333355</c:v>
                </c:pt>
                <c:pt idx="8">
                  <c:v>62.745000000000026</c:v>
                </c:pt>
                <c:pt idx="9">
                  <c:v>69.716666666666697</c:v>
                </c:pt>
                <c:pt idx="10">
                  <c:v>76.688333333333361</c:v>
                </c:pt>
                <c:pt idx="11">
                  <c:v>83.660000000000025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3DE-42B8-A625-47D64897E507}"/>
            </c:ext>
          </c:extLst>
        </c:ser>
        <c:ser>
          <c:idx val="2"/>
          <c:order val="2"/>
          <c:tx>
            <c:strRef>
              <c:f>Foglio1!$G$120</c:f>
              <c:strCache>
                <c:ptCount val="1"/>
                <c:pt idx="0">
                  <c:v>Wi*(a)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strRef>
              <c:f>Foglio1!$D$121:$D$132</c:f>
              <c:strCache>
                <c:ptCount val="12"/>
                <c:pt idx="0">
                  <c:v>ott</c:v>
                </c:pt>
                <c:pt idx="1">
                  <c:v>nov</c:v>
                </c:pt>
                <c:pt idx="2">
                  <c:v>dic</c:v>
                </c:pt>
                <c:pt idx="3">
                  <c:v>gen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mag</c:v>
                </c:pt>
                <c:pt idx="8">
                  <c:v>giu</c:v>
                </c:pt>
                <c:pt idx="9">
                  <c:v>lug</c:v>
                </c:pt>
                <c:pt idx="10">
                  <c:v>ago</c:v>
                </c:pt>
                <c:pt idx="11">
                  <c:v>sett</c:v>
                </c:pt>
              </c:strCache>
            </c:strRef>
          </c:xVal>
          <c:yVal>
            <c:numRef>
              <c:f>Foglio1!$G$121:$G$132</c:f>
              <c:numCache>
                <c:formatCode>0.00</c:formatCode>
                <c:ptCount val="12"/>
                <c:pt idx="0">
                  <c:v>13.608333333333333</c:v>
                </c:pt>
                <c:pt idx="1">
                  <c:v>14.496666666666666</c:v>
                </c:pt>
                <c:pt idx="2">
                  <c:v>20.474999999999998</c:v>
                </c:pt>
                <c:pt idx="3">
                  <c:v>27.823333333333331</c:v>
                </c:pt>
                <c:pt idx="4">
                  <c:v>35.01166666666667</c:v>
                </c:pt>
                <c:pt idx="5">
                  <c:v>43.36</c:v>
                </c:pt>
                <c:pt idx="6">
                  <c:v>43.238333333333337</c:v>
                </c:pt>
                <c:pt idx="7">
                  <c:v>40.166666666666671</c:v>
                </c:pt>
                <c:pt idx="8">
                  <c:v>35.504999999999995</c:v>
                </c:pt>
                <c:pt idx="9">
                  <c:v>29.993333333333332</c:v>
                </c:pt>
                <c:pt idx="10">
                  <c:v>24.121666666666663</c:v>
                </c:pt>
                <c:pt idx="11">
                  <c:v>18.5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3DE-42B8-A625-47D64897E507}"/>
            </c:ext>
          </c:extLst>
        </c:ser>
        <c:ser>
          <c:idx val="3"/>
          <c:order val="3"/>
          <c:tx>
            <c:strRef>
              <c:f>Foglio1!$H$120</c:f>
              <c:strCache>
                <c:ptCount val="1"/>
                <c:pt idx="0">
                  <c:v>Sfi(a)*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strRef>
              <c:f>Foglio1!$D$121:$D$132</c:f>
              <c:strCache>
                <c:ptCount val="12"/>
                <c:pt idx="0">
                  <c:v>ott</c:v>
                </c:pt>
                <c:pt idx="1">
                  <c:v>nov</c:v>
                </c:pt>
                <c:pt idx="2">
                  <c:v>dic</c:v>
                </c:pt>
                <c:pt idx="3">
                  <c:v>gen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mag</c:v>
                </c:pt>
                <c:pt idx="8">
                  <c:v>giu</c:v>
                </c:pt>
                <c:pt idx="9">
                  <c:v>lug</c:v>
                </c:pt>
                <c:pt idx="10">
                  <c:v>ago</c:v>
                </c:pt>
                <c:pt idx="11">
                  <c:v>sett</c:v>
                </c:pt>
              </c:strCache>
            </c:strRef>
          </c:xVal>
          <c:yVal>
            <c:numRef>
              <c:f>Foglio1!$H$121:$H$132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53DE-42B8-A625-47D64897E507}"/>
            </c:ext>
          </c:extLst>
        </c:ser>
        <c:ser>
          <c:idx val="4"/>
          <c:order val="4"/>
          <c:tx>
            <c:strRef>
              <c:f>Foglio1!$I$120</c:f>
              <c:strCache>
                <c:ptCount val="1"/>
                <c:pt idx="0">
                  <c:v>S/Di(a)*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strRef>
              <c:f>Foglio1!$D$121:$D$132</c:f>
              <c:strCache>
                <c:ptCount val="12"/>
                <c:pt idx="0">
                  <c:v>ott</c:v>
                </c:pt>
                <c:pt idx="1">
                  <c:v>nov</c:v>
                </c:pt>
                <c:pt idx="2">
                  <c:v>dic</c:v>
                </c:pt>
                <c:pt idx="3">
                  <c:v>gen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mag</c:v>
                </c:pt>
                <c:pt idx="8">
                  <c:v>giu</c:v>
                </c:pt>
                <c:pt idx="9">
                  <c:v>lug</c:v>
                </c:pt>
                <c:pt idx="10">
                  <c:v>ago</c:v>
                </c:pt>
                <c:pt idx="11">
                  <c:v>sett</c:v>
                </c:pt>
              </c:strCache>
            </c:strRef>
          </c:xVal>
          <c:yVal>
            <c:numRef>
              <c:f>Foglio1!$I$121:$I$132</c:f>
              <c:numCache>
                <c:formatCode>0.00</c:formatCode>
                <c:ptCount val="12"/>
                <c:pt idx="0">
                  <c:v>-4.8916666666666675</c:v>
                </c:pt>
                <c:pt idx="1">
                  <c:v>-4.0033333333333347</c:v>
                </c:pt>
                <c:pt idx="2">
                  <c:v>1.9749999999999979</c:v>
                </c:pt>
                <c:pt idx="3">
                  <c:v>9.3233333333333306</c:v>
                </c:pt>
                <c:pt idx="4">
                  <c:v>16.511666666666667</c:v>
                </c:pt>
                <c:pt idx="5">
                  <c:v>24.860000000000003</c:v>
                </c:pt>
                <c:pt idx="6">
                  <c:v>24.738333333333337</c:v>
                </c:pt>
                <c:pt idx="7">
                  <c:v>21.666666666666668</c:v>
                </c:pt>
                <c:pt idx="8">
                  <c:v>17.004999999999999</c:v>
                </c:pt>
                <c:pt idx="9">
                  <c:v>11.493333333333331</c:v>
                </c:pt>
                <c:pt idx="10">
                  <c:v>5.6216666666666626</c:v>
                </c:pt>
                <c:pt idx="1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53DE-42B8-A625-47D64897E507}"/>
            </c:ext>
          </c:extLst>
        </c:ser>
        <c:ser>
          <c:idx val="5"/>
          <c:order val="5"/>
          <c:tx>
            <c:strRef>
              <c:f>Foglio1!$J$120</c:f>
              <c:strCache>
                <c:ptCount val="1"/>
                <c:pt idx="0">
                  <c:v>Wdiga</c:v>
                </c:pt>
              </c:strCache>
            </c:strRef>
          </c:tx>
          <c:spPr>
            <a:ln w="19050" cap="rnd">
              <a:solidFill>
                <a:schemeClr val="accent6"/>
              </a:solidFill>
              <a:prstDash val="dash"/>
              <a:round/>
            </a:ln>
            <a:effectLst/>
          </c:spPr>
          <c:marker>
            <c:symbol val="none"/>
          </c:marker>
          <c:xVal>
            <c:strRef>
              <c:f>Foglio1!$D$121:$D$132</c:f>
              <c:strCache>
                <c:ptCount val="12"/>
                <c:pt idx="0">
                  <c:v>ott</c:v>
                </c:pt>
                <c:pt idx="1">
                  <c:v>nov</c:v>
                </c:pt>
                <c:pt idx="2">
                  <c:v>dic</c:v>
                </c:pt>
                <c:pt idx="3">
                  <c:v>gen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mag</c:v>
                </c:pt>
                <c:pt idx="8">
                  <c:v>giu</c:v>
                </c:pt>
                <c:pt idx="9">
                  <c:v>lug</c:v>
                </c:pt>
                <c:pt idx="10">
                  <c:v>ago</c:v>
                </c:pt>
                <c:pt idx="11">
                  <c:v>sett</c:v>
                </c:pt>
              </c:strCache>
            </c:strRef>
          </c:xVal>
          <c:yVal>
            <c:numRef>
              <c:f>Foglio1!$J$121:$J$132</c:f>
              <c:numCache>
                <c:formatCode>General</c:formatCode>
                <c:ptCount val="12"/>
                <c:pt idx="0">
                  <c:v>74</c:v>
                </c:pt>
                <c:pt idx="1">
                  <c:v>74</c:v>
                </c:pt>
                <c:pt idx="2">
                  <c:v>74</c:v>
                </c:pt>
                <c:pt idx="3">
                  <c:v>74</c:v>
                </c:pt>
                <c:pt idx="4">
                  <c:v>74</c:v>
                </c:pt>
                <c:pt idx="5">
                  <c:v>74</c:v>
                </c:pt>
                <c:pt idx="6">
                  <c:v>74</c:v>
                </c:pt>
                <c:pt idx="7">
                  <c:v>74</c:v>
                </c:pt>
                <c:pt idx="8">
                  <c:v>74</c:v>
                </c:pt>
                <c:pt idx="9">
                  <c:v>74</c:v>
                </c:pt>
                <c:pt idx="10">
                  <c:v>74</c:v>
                </c:pt>
                <c:pt idx="11">
                  <c:v>74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53DE-42B8-A625-47D64897E507}"/>
            </c:ext>
          </c:extLst>
        </c:ser>
        <c:ser>
          <c:idx val="6"/>
          <c:order val="6"/>
          <c:tx>
            <c:strRef>
              <c:f>Foglio1!$K$120</c:f>
              <c:strCache>
                <c:ptCount val="1"/>
                <c:pt idx="0">
                  <c:v>Wo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prstDash val="dash"/>
              <a:round/>
            </a:ln>
            <a:effectLst/>
          </c:spPr>
          <c:marker>
            <c:symbol val="none"/>
          </c:marker>
          <c:xVal>
            <c:strRef>
              <c:f>Foglio1!$D$121:$D$132</c:f>
              <c:strCache>
                <c:ptCount val="12"/>
                <c:pt idx="0">
                  <c:v>ott</c:v>
                </c:pt>
                <c:pt idx="1">
                  <c:v>nov</c:v>
                </c:pt>
                <c:pt idx="2">
                  <c:v>dic</c:v>
                </c:pt>
                <c:pt idx="3">
                  <c:v>gen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mag</c:v>
                </c:pt>
                <c:pt idx="8">
                  <c:v>giu</c:v>
                </c:pt>
                <c:pt idx="9">
                  <c:v>lug</c:v>
                </c:pt>
                <c:pt idx="10">
                  <c:v>ago</c:v>
                </c:pt>
                <c:pt idx="11">
                  <c:v>sett</c:v>
                </c:pt>
              </c:strCache>
            </c:strRef>
          </c:xVal>
          <c:yVal>
            <c:numRef>
              <c:f>Foglio1!$K$121:$K$132</c:f>
              <c:numCache>
                <c:formatCode>General</c:formatCode>
                <c:ptCount val="12"/>
                <c:pt idx="0">
                  <c:v>18.5</c:v>
                </c:pt>
                <c:pt idx="1">
                  <c:v>18.5</c:v>
                </c:pt>
                <c:pt idx="2">
                  <c:v>18.5</c:v>
                </c:pt>
                <c:pt idx="3">
                  <c:v>18.5</c:v>
                </c:pt>
                <c:pt idx="4">
                  <c:v>18.5</c:v>
                </c:pt>
                <c:pt idx="5">
                  <c:v>18.5</c:v>
                </c:pt>
                <c:pt idx="6">
                  <c:v>18.5</c:v>
                </c:pt>
                <c:pt idx="7">
                  <c:v>18.5</c:v>
                </c:pt>
                <c:pt idx="8">
                  <c:v>18.5</c:v>
                </c:pt>
                <c:pt idx="9">
                  <c:v>18.5</c:v>
                </c:pt>
                <c:pt idx="10">
                  <c:v>18.5</c:v>
                </c:pt>
                <c:pt idx="11">
                  <c:v>18.5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53DE-42B8-A625-47D64897E5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4287151"/>
        <c:axId val="164288111"/>
      </c:scatterChart>
      <c:valAx>
        <c:axId val="164287151"/>
        <c:scaling>
          <c:orientation val="minMax"/>
          <c:min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IT"/>
          </a:p>
        </c:txPr>
        <c:crossAx val="164288111"/>
        <c:crosses val="autoZero"/>
        <c:crossBetween val="midCat"/>
        <c:majorUnit val="1"/>
      </c:valAx>
      <c:valAx>
        <c:axId val="1642881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IT"/>
          </a:p>
        </c:txPr>
        <c:crossAx val="16428715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IT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T"/>
        </a:p>
      </c:txPr>
    </c:title>
    <c:autoTitleDeleted val="0"/>
    <c:plotArea>
      <c:layout>
        <c:manualLayout>
          <c:layoutTarget val="inner"/>
          <c:xMode val="edge"/>
          <c:yMode val="edge"/>
          <c:x val="7.3580927384076997E-2"/>
          <c:y val="0.16708333333333336"/>
          <c:w val="0.87764129483814524"/>
          <c:h val="0.6714577865266842"/>
        </c:manualLayout>
      </c:layout>
      <c:scatterChart>
        <c:scatterStyle val="lineMarker"/>
        <c:varyColors val="0"/>
        <c:ser>
          <c:idx val="0"/>
          <c:order val="0"/>
          <c:tx>
            <c:strRef>
              <c:f>Foglio1!$E$135</c:f>
              <c:strCache>
                <c:ptCount val="1"/>
                <c:pt idx="0">
                  <c:v>Ai*tot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strRef>
              <c:f>Foglio1!$D$136:$D$147</c:f>
              <c:strCache>
                <c:ptCount val="12"/>
                <c:pt idx="0">
                  <c:v>ott</c:v>
                </c:pt>
                <c:pt idx="1">
                  <c:v>nov</c:v>
                </c:pt>
                <c:pt idx="2">
                  <c:v>dic</c:v>
                </c:pt>
                <c:pt idx="3">
                  <c:v>gen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mag</c:v>
                </c:pt>
                <c:pt idx="8">
                  <c:v>giu</c:v>
                </c:pt>
                <c:pt idx="9">
                  <c:v>lug</c:v>
                </c:pt>
                <c:pt idx="10">
                  <c:v>ago</c:v>
                </c:pt>
                <c:pt idx="11">
                  <c:v>sett</c:v>
                </c:pt>
              </c:strCache>
            </c:strRef>
          </c:xVal>
          <c:yVal>
            <c:numRef>
              <c:f>Foglio1!$E$136:$E$147</c:f>
              <c:numCache>
                <c:formatCode>General</c:formatCode>
                <c:ptCount val="12"/>
                <c:pt idx="0">
                  <c:v>2.0800000000000005</c:v>
                </c:pt>
                <c:pt idx="1">
                  <c:v>9.9400000000000013</c:v>
                </c:pt>
                <c:pt idx="2">
                  <c:v>22.89</c:v>
                </c:pt>
                <c:pt idx="3">
                  <c:v>37.21</c:v>
                </c:pt>
                <c:pt idx="4">
                  <c:v>51.370000000000005</c:v>
                </c:pt>
                <c:pt idx="5">
                  <c:v>66.690000000000012</c:v>
                </c:pt>
                <c:pt idx="6">
                  <c:v>73.54000000000002</c:v>
                </c:pt>
                <c:pt idx="7">
                  <c:v>77.440000000000026</c:v>
                </c:pt>
                <c:pt idx="8">
                  <c:v>79.750000000000028</c:v>
                </c:pt>
                <c:pt idx="9">
                  <c:v>81.210000000000022</c:v>
                </c:pt>
                <c:pt idx="10">
                  <c:v>82.310000000000016</c:v>
                </c:pt>
                <c:pt idx="11">
                  <c:v>83.660000000000011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3AF-489B-A6E7-62650F34761C}"/>
            </c:ext>
          </c:extLst>
        </c:ser>
        <c:ser>
          <c:idx val="1"/>
          <c:order val="1"/>
          <c:tx>
            <c:strRef>
              <c:f>Foglio1!$F$135</c:f>
              <c:strCache>
                <c:ptCount val="1"/>
                <c:pt idx="0">
                  <c:v>Ei*tot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strRef>
              <c:f>Foglio1!$D$136:$D$147</c:f>
              <c:strCache>
                <c:ptCount val="12"/>
                <c:pt idx="0">
                  <c:v>ott</c:v>
                </c:pt>
                <c:pt idx="1">
                  <c:v>nov</c:v>
                </c:pt>
                <c:pt idx="2">
                  <c:v>dic</c:v>
                </c:pt>
                <c:pt idx="3">
                  <c:v>gen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mag</c:v>
                </c:pt>
                <c:pt idx="8">
                  <c:v>giu</c:v>
                </c:pt>
                <c:pt idx="9">
                  <c:v>lug</c:v>
                </c:pt>
                <c:pt idx="10">
                  <c:v>ago</c:v>
                </c:pt>
                <c:pt idx="11">
                  <c:v>sett</c:v>
                </c:pt>
              </c:strCache>
            </c:strRef>
          </c:xVal>
          <c:yVal>
            <c:numRef>
              <c:f>Foglio1!$F$136:$F$147</c:f>
              <c:numCache>
                <c:formatCode>0.00</c:formatCode>
                <c:ptCount val="12"/>
                <c:pt idx="0">
                  <c:v>6.9716666666666685</c:v>
                </c:pt>
                <c:pt idx="1">
                  <c:v>13.943333333333337</c:v>
                </c:pt>
                <c:pt idx="2">
                  <c:v>20.915000000000006</c:v>
                </c:pt>
                <c:pt idx="3">
                  <c:v>27.886666666666674</c:v>
                </c:pt>
                <c:pt idx="4">
                  <c:v>34.858333333333341</c:v>
                </c:pt>
                <c:pt idx="5">
                  <c:v>41.830000000000013</c:v>
                </c:pt>
                <c:pt idx="6">
                  <c:v>48.801666666666684</c:v>
                </c:pt>
                <c:pt idx="7">
                  <c:v>55.773333333333355</c:v>
                </c:pt>
                <c:pt idx="8">
                  <c:v>62.745000000000026</c:v>
                </c:pt>
                <c:pt idx="9">
                  <c:v>69.716666666666697</c:v>
                </c:pt>
                <c:pt idx="10">
                  <c:v>76.688333333333361</c:v>
                </c:pt>
                <c:pt idx="11">
                  <c:v>83.660000000000025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3AF-489B-A6E7-62650F34761C}"/>
            </c:ext>
          </c:extLst>
        </c:ser>
        <c:ser>
          <c:idx val="2"/>
          <c:order val="2"/>
          <c:tx>
            <c:strRef>
              <c:f>Foglio1!$G$135</c:f>
              <c:strCache>
                <c:ptCount val="1"/>
                <c:pt idx="0">
                  <c:v>Wi*(b)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strRef>
              <c:f>Foglio1!$D$136:$D$147</c:f>
              <c:strCache>
                <c:ptCount val="12"/>
                <c:pt idx="0">
                  <c:v>ott</c:v>
                </c:pt>
                <c:pt idx="1">
                  <c:v>nov</c:v>
                </c:pt>
                <c:pt idx="2">
                  <c:v>dic</c:v>
                </c:pt>
                <c:pt idx="3">
                  <c:v>gen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mag</c:v>
                </c:pt>
                <c:pt idx="8">
                  <c:v>giu</c:v>
                </c:pt>
                <c:pt idx="9">
                  <c:v>lug</c:v>
                </c:pt>
                <c:pt idx="10">
                  <c:v>ago</c:v>
                </c:pt>
                <c:pt idx="11">
                  <c:v>sett</c:v>
                </c:pt>
              </c:strCache>
            </c:strRef>
          </c:xVal>
          <c:yVal>
            <c:numRef>
              <c:f>Foglio1!$G$136:$G$147</c:f>
              <c:numCache>
                <c:formatCode>0.00</c:formatCode>
                <c:ptCount val="12"/>
                <c:pt idx="0">
                  <c:v>13.608333333333333</c:v>
                </c:pt>
                <c:pt idx="1">
                  <c:v>14.496666666666666</c:v>
                </c:pt>
                <c:pt idx="2">
                  <c:v>20.474999999999998</c:v>
                </c:pt>
                <c:pt idx="3">
                  <c:v>27.823333333333331</c:v>
                </c:pt>
                <c:pt idx="4">
                  <c:v>35.01166666666667</c:v>
                </c:pt>
                <c:pt idx="5">
                  <c:v>43.36</c:v>
                </c:pt>
                <c:pt idx="6">
                  <c:v>43.238333333333337</c:v>
                </c:pt>
                <c:pt idx="7">
                  <c:v>40.166666666666671</c:v>
                </c:pt>
                <c:pt idx="8">
                  <c:v>35.504999999999995</c:v>
                </c:pt>
                <c:pt idx="9">
                  <c:v>29.993333333333332</c:v>
                </c:pt>
                <c:pt idx="10">
                  <c:v>24.121666666666663</c:v>
                </c:pt>
                <c:pt idx="11">
                  <c:v>18.5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3AF-489B-A6E7-62650F34761C}"/>
            </c:ext>
          </c:extLst>
        </c:ser>
        <c:ser>
          <c:idx val="3"/>
          <c:order val="3"/>
          <c:tx>
            <c:strRef>
              <c:f>Foglio1!$H$135</c:f>
              <c:strCache>
                <c:ptCount val="1"/>
                <c:pt idx="0">
                  <c:v>Sfi(b)*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strRef>
              <c:f>Foglio1!$D$136:$D$147</c:f>
              <c:strCache>
                <c:ptCount val="12"/>
                <c:pt idx="0">
                  <c:v>ott</c:v>
                </c:pt>
                <c:pt idx="1">
                  <c:v>nov</c:v>
                </c:pt>
                <c:pt idx="2">
                  <c:v>dic</c:v>
                </c:pt>
                <c:pt idx="3">
                  <c:v>gen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mag</c:v>
                </c:pt>
                <c:pt idx="8">
                  <c:v>giu</c:v>
                </c:pt>
                <c:pt idx="9">
                  <c:v>lug</c:v>
                </c:pt>
                <c:pt idx="10">
                  <c:v>ago</c:v>
                </c:pt>
                <c:pt idx="11">
                  <c:v>sett</c:v>
                </c:pt>
              </c:strCache>
            </c:strRef>
          </c:xVal>
          <c:yVal>
            <c:numRef>
              <c:f>Foglio1!$H$136:$H$147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33AF-489B-A6E7-62650F34761C}"/>
            </c:ext>
          </c:extLst>
        </c:ser>
        <c:ser>
          <c:idx val="4"/>
          <c:order val="4"/>
          <c:tx>
            <c:strRef>
              <c:f>Foglio1!$I$135</c:f>
              <c:strCache>
                <c:ptCount val="1"/>
                <c:pt idx="0">
                  <c:v>S/Di(b)*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strRef>
              <c:f>Foglio1!$D$136:$D$147</c:f>
              <c:strCache>
                <c:ptCount val="12"/>
                <c:pt idx="0">
                  <c:v>ott</c:v>
                </c:pt>
                <c:pt idx="1">
                  <c:v>nov</c:v>
                </c:pt>
                <c:pt idx="2">
                  <c:v>dic</c:v>
                </c:pt>
                <c:pt idx="3">
                  <c:v>gen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mag</c:v>
                </c:pt>
                <c:pt idx="8">
                  <c:v>giu</c:v>
                </c:pt>
                <c:pt idx="9">
                  <c:v>lug</c:v>
                </c:pt>
                <c:pt idx="10">
                  <c:v>ago</c:v>
                </c:pt>
                <c:pt idx="11">
                  <c:v>sett</c:v>
                </c:pt>
              </c:strCache>
            </c:strRef>
          </c:xVal>
          <c:yVal>
            <c:numRef>
              <c:f>Foglio1!$I$136:$I$147</c:f>
              <c:numCache>
                <c:formatCode>0.00</c:formatCode>
                <c:ptCount val="12"/>
                <c:pt idx="0">
                  <c:v>-4.8916666666666675</c:v>
                </c:pt>
                <c:pt idx="1">
                  <c:v>-4.0033333333333347</c:v>
                </c:pt>
                <c:pt idx="2">
                  <c:v>1.9749999999999979</c:v>
                </c:pt>
                <c:pt idx="3">
                  <c:v>9.3233333333333306</c:v>
                </c:pt>
                <c:pt idx="4">
                  <c:v>16.511666666666667</c:v>
                </c:pt>
                <c:pt idx="5">
                  <c:v>24.860000000000003</c:v>
                </c:pt>
                <c:pt idx="6">
                  <c:v>24.738333333333337</c:v>
                </c:pt>
                <c:pt idx="7">
                  <c:v>21.666666666666668</c:v>
                </c:pt>
                <c:pt idx="8">
                  <c:v>17.004999999999999</c:v>
                </c:pt>
                <c:pt idx="9">
                  <c:v>11.493333333333331</c:v>
                </c:pt>
                <c:pt idx="10">
                  <c:v>5.6216666666666626</c:v>
                </c:pt>
                <c:pt idx="1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33AF-489B-A6E7-62650F34761C}"/>
            </c:ext>
          </c:extLst>
        </c:ser>
        <c:ser>
          <c:idx val="5"/>
          <c:order val="5"/>
          <c:tx>
            <c:strRef>
              <c:f>Foglio1!$J$135</c:f>
              <c:strCache>
                <c:ptCount val="1"/>
                <c:pt idx="0">
                  <c:v>Wdiga</c:v>
                </c:pt>
              </c:strCache>
            </c:strRef>
          </c:tx>
          <c:spPr>
            <a:ln w="19050" cap="rnd">
              <a:solidFill>
                <a:schemeClr val="accent6"/>
              </a:solidFill>
              <a:prstDash val="dash"/>
              <a:round/>
            </a:ln>
            <a:effectLst/>
          </c:spPr>
          <c:marker>
            <c:symbol val="none"/>
          </c:marker>
          <c:xVal>
            <c:strRef>
              <c:f>Foglio1!$D$136:$D$147</c:f>
              <c:strCache>
                <c:ptCount val="12"/>
                <c:pt idx="0">
                  <c:v>ott</c:v>
                </c:pt>
                <c:pt idx="1">
                  <c:v>nov</c:v>
                </c:pt>
                <c:pt idx="2">
                  <c:v>dic</c:v>
                </c:pt>
                <c:pt idx="3">
                  <c:v>gen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mag</c:v>
                </c:pt>
                <c:pt idx="8">
                  <c:v>giu</c:v>
                </c:pt>
                <c:pt idx="9">
                  <c:v>lug</c:v>
                </c:pt>
                <c:pt idx="10">
                  <c:v>ago</c:v>
                </c:pt>
                <c:pt idx="11">
                  <c:v>sett</c:v>
                </c:pt>
              </c:strCache>
            </c:strRef>
          </c:xVal>
          <c:yVal>
            <c:numRef>
              <c:f>Foglio1!$J$136:$J$147</c:f>
              <c:numCache>
                <c:formatCode>General</c:formatCode>
                <c:ptCount val="12"/>
                <c:pt idx="0">
                  <c:v>47</c:v>
                </c:pt>
                <c:pt idx="1">
                  <c:v>47</c:v>
                </c:pt>
                <c:pt idx="2">
                  <c:v>47</c:v>
                </c:pt>
                <c:pt idx="3">
                  <c:v>47</c:v>
                </c:pt>
                <c:pt idx="4">
                  <c:v>47</c:v>
                </c:pt>
                <c:pt idx="5">
                  <c:v>47</c:v>
                </c:pt>
                <c:pt idx="6">
                  <c:v>47</c:v>
                </c:pt>
                <c:pt idx="7">
                  <c:v>47</c:v>
                </c:pt>
                <c:pt idx="8">
                  <c:v>47</c:v>
                </c:pt>
                <c:pt idx="9">
                  <c:v>47</c:v>
                </c:pt>
                <c:pt idx="10">
                  <c:v>47</c:v>
                </c:pt>
                <c:pt idx="11">
                  <c:v>47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33AF-489B-A6E7-62650F34761C}"/>
            </c:ext>
          </c:extLst>
        </c:ser>
        <c:ser>
          <c:idx val="6"/>
          <c:order val="6"/>
          <c:tx>
            <c:strRef>
              <c:f>Foglio1!$K$135</c:f>
              <c:strCache>
                <c:ptCount val="1"/>
                <c:pt idx="0">
                  <c:v>Wo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prstDash val="dash"/>
              <a:round/>
            </a:ln>
            <a:effectLst/>
          </c:spPr>
          <c:marker>
            <c:symbol val="none"/>
          </c:marker>
          <c:xVal>
            <c:strRef>
              <c:f>Foglio1!$D$136:$D$147</c:f>
              <c:strCache>
                <c:ptCount val="12"/>
                <c:pt idx="0">
                  <c:v>ott</c:v>
                </c:pt>
                <c:pt idx="1">
                  <c:v>nov</c:v>
                </c:pt>
                <c:pt idx="2">
                  <c:v>dic</c:v>
                </c:pt>
                <c:pt idx="3">
                  <c:v>gen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mag</c:v>
                </c:pt>
                <c:pt idx="8">
                  <c:v>giu</c:v>
                </c:pt>
                <c:pt idx="9">
                  <c:v>lug</c:v>
                </c:pt>
                <c:pt idx="10">
                  <c:v>ago</c:v>
                </c:pt>
                <c:pt idx="11">
                  <c:v>sett</c:v>
                </c:pt>
              </c:strCache>
            </c:strRef>
          </c:xVal>
          <c:yVal>
            <c:numRef>
              <c:f>Foglio1!$K$136:$K$147</c:f>
              <c:numCache>
                <c:formatCode>General</c:formatCode>
                <c:ptCount val="12"/>
                <c:pt idx="0">
                  <c:v>18.5</c:v>
                </c:pt>
                <c:pt idx="1">
                  <c:v>18.5</c:v>
                </c:pt>
                <c:pt idx="2">
                  <c:v>18.5</c:v>
                </c:pt>
                <c:pt idx="3">
                  <c:v>18.5</c:v>
                </c:pt>
                <c:pt idx="4">
                  <c:v>18.5</c:v>
                </c:pt>
                <c:pt idx="5">
                  <c:v>18.5</c:v>
                </c:pt>
                <c:pt idx="6">
                  <c:v>18.5</c:v>
                </c:pt>
                <c:pt idx="7">
                  <c:v>18.5</c:v>
                </c:pt>
                <c:pt idx="8">
                  <c:v>18.5</c:v>
                </c:pt>
                <c:pt idx="9">
                  <c:v>18.5</c:v>
                </c:pt>
                <c:pt idx="10">
                  <c:v>18.5</c:v>
                </c:pt>
                <c:pt idx="11">
                  <c:v>18.5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33AF-489B-A6E7-62650F3476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33451104"/>
        <c:axId val="1433478464"/>
      </c:scatterChart>
      <c:valAx>
        <c:axId val="1433451104"/>
        <c:scaling>
          <c:orientation val="minMax"/>
          <c:min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IT"/>
          </a:p>
        </c:txPr>
        <c:crossAx val="1433478464"/>
        <c:crosses val="autoZero"/>
        <c:crossBetween val="midCat"/>
        <c:majorUnit val="1"/>
      </c:valAx>
      <c:valAx>
        <c:axId val="14334784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IT"/>
          </a:p>
        </c:txPr>
        <c:crossAx val="1433451104"/>
        <c:crosses val="autoZero"/>
        <c:crossBetween val="midCat"/>
        <c:majorUnit val="10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IT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92075</xdr:colOff>
      <xdr:row>43</xdr:row>
      <xdr:rowOff>130175</xdr:rowOff>
    </xdr:from>
    <xdr:to>
      <xdr:col>21</xdr:col>
      <xdr:colOff>396875</xdr:colOff>
      <xdr:row>58</xdr:row>
      <xdr:rowOff>111125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45274E95-CC6C-5CEE-80DD-223DBAD088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98425</xdr:colOff>
      <xdr:row>59</xdr:row>
      <xdr:rowOff>92075</xdr:rowOff>
    </xdr:from>
    <xdr:to>
      <xdr:col>21</xdr:col>
      <xdr:colOff>403225</xdr:colOff>
      <xdr:row>74</xdr:row>
      <xdr:rowOff>73025</xdr:rowOff>
    </xdr:to>
    <xdr:graphicFrame macro="">
      <xdr:nvGraphicFramePr>
        <xdr:cNvPr id="3" name="Grafico 2">
          <a:extLst>
            <a:ext uri="{FF2B5EF4-FFF2-40B4-BE49-F238E27FC236}">
              <a16:creationId xmlns:a16="http://schemas.microsoft.com/office/drawing/2014/main" id="{E4C9DF2A-51A9-F4EB-983D-284D40F6ABF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21</xdr:col>
      <xdr:colOff>542925</xdr:colOff>
      <xdr:row>118</xdr:row>
      <xdr:rowOff>53975</xdr:rowOff>
    </xdr:from>
    <xdr:to>
      <xdr:col>29</xdr:col>
      <xdr:colOff>238125</xdr:colOff>
      <xdr:row>133</xdr:row>
      <xdr:rowOff>34925</xdr:rowOff>
    </xdr:to>
    <xdr:graphicFrame macro="">
      <xdr:nvGraphicFramePr>
        <xdr:cNvPr id="5" name="Grafico 4">
          <a:extLst>
            <a:ext uri="{FF2B5EF4-FFF2-40B4-BE49-F238E27FC236}">
              <a16:creationId xmlns:a16="http://schemas.microsoft.com/office/drawing/2014/main" id="{17205BFD-A7D3-C1CC-49DE-77EDADA3ADB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21</xdr:col>
      <xdr:colOff>549275</xdr:colOff>
      <xdr:row>134</xdr:row>
      <xdr:rowOff>104775</xdr:rowOff>
    </xdr:from>
    <xdr:to>
      <xdr:col>29</xdr:col>
      <xdr:colOff>244475</xdr:colOff>
      <xdr:row>149</xdr:row>
      <xdr:rowOff>85725</xdr:rowOff>
    </xdr:to>
    <xdr:graphicFrame macro="">
      <xdr:nvGraphicFramePr>
        <xdr:cNvPr id="6" name="Grafico 5">
          <a:extLst>
            <a:ext uri="{FF2B5EF4-FFF2-40B4-BE49-F238E27FC236}">
              <a16:creationId xmlns:a16="http://schemas.microsoft.com/office/drawing/2014/main" id="{B4A5C983-77DB-00CE-D5D3-B48EF3D3FEE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AL148"/>
  <sheetViews>
    <sheetView tabSelected="1" topLeftCell="P18" zoomScale="136" workbookViewId="0">
      <selection activeCell="U23" sqref="U23"/>
    </sheetView>
  </sheetViews>
  <sheetFormatPr baseColWidth="10" defaultColWidth="8.83203125" defaultRowHeight="15" x14ac:dyDescent="0.2"/>
  <cols>
    <col min="3" max="3" width="4.6640625" bestFit="1" customWidth="1"/>
    <col min="4" max="4" width="12.1640625" bestFit="1" customWidth="1"/>
    <col min="5" max="5" width="6.33203125" bestFit="1" customWidth="1"/>
    <col min="6" max="6" width="11.6640625" bestFit="1" customWidth="1"/>
    <col min="7" max="7" width="11.5" bestFit="1" customWidth="1"/>
    <col min="8" max="8" width="6.6640625" bestFit="1" customWidth="1"/>
    <col min="9" max="9" width="12.1640625" bestFit="1" customWidth="1"/>
    <col min="10" max="10" width="6.6640625" bestFit="1" customWidth="1"/>
    <col min="11" max="12" width="12.1640625" bestFit="1" customWidth="1"/>
    <col min="13" max="13" width="6.6640625" bestFit="1" customWidth="1"/>
    <col min="14" max="14" width="7.1640625" bestFit="1" customWidth="1"/>
    <col min="15" max="15" width="7.5" bestFit="1" customWidth="1"/>
    <col min="16" max="16" width="5.33203125" bestFit="1" customWidth="1"/>
    <col min="17" max="17" width="5" bestFit="1" customWidth="1"/>
    <col min="18" max="19" width="6.1640625" bestFit="1" customWidth="1"/>
    <col min="20" max="22" width="12.1640625" bestFit="1" customWidth="1"/>
    <col min="23" max="23" width="12.6640625" bestFit="1" customWidth="1"/>
    <col min="24" max="28" width="6.1640625" bestFit="1" customWidth="1"/>
    <col min="29" max="29" width="5.6640625" bestFit="1" customWidth="1"/>
    <col min="30" max="31" width="5.1640625" bestFit="1" customWidth="1"/>
    <col min="32" max="34" width="6.1640625" bestFit="1" customWidth="1"/>
    <col min="35" max="38" width="12.6640625" bestFit="1" customWidth="1"/>
  </cols>
  <sheetData>
    <row r="2" spans="3:20" x14ac:dyDescent="0.2">
      <c r="I2" s="2" t="s">
        <v>0</v>
      </c>
      <c r="J2" s="2" t="s">
        <v>1</v>
      </c>
    </row>
    <row r="6" spans="3:20" x14ac:dyDescent="0.2">
      <c r="C6" s="3" t="s">
        <v>6</v>
      </c>
      <c r="D6" s="28" t="s">
        <v>7</v>
      </c>
      <c r="E6" s="28" t="s">
        <v>8</v>
      </c>
      <c r="F6" s="28" t="s">
        <v>9</v>
      </c>
      <c r="G6" s="28" t="s">
        <v>10</v>
      </c>
      <c r="H6" s="28" t="s">
        <v>11</v>
      </c>
      <c r="I6" s="28" t="s">
        <v>12</v>
      </c>
      <c r="J6" s="28" t="s">
        <v>13</v>
      </c>
      <c r="K6" s="28" t="s">
        <v>14</v>
      </c>
      <c r="L6" s="3" t="s">
        <v>15</v>
      </c>
      <c r="N6" s="28" t="s">
        <v>16</v>
      </c>
      <c r="P6" t="s">
        <v>17</v>
      </c>
    </row>
    <row r="7" spans="3:20" x14ac:dyDescent="0.2">
      <c r="N7" s="28" t="s">
        <v>19</v>
      </c>
      <c r="O7">
        <v>74</v>
      </c>
      <c r="P7" t="s">
        <v>4</v>
      </c>
    </row>
    <row r="8" spans="3:20" x14ac:dyDescent="0.2">
      <c r="N8" s="28" t="s">
        <v>21</v>
      </c>
      <c r="O8">
        <v>47</v>
      </c>
      <c r="P8" t="s">
        <v>4</v>
      </c>
    </row>
    <row r="9" spans="3:20" x14ac:dyDescent="0.2">
      <c r="N9" s="28" t="s">
        <v>22</v>
      </c>
      <c r="O9">
        <f>0.25*O7</f>
        <v>18.5</v>
      </c>
      <c r="P9" t="s">
        <v>4</v>
      </c>
      <c r="R9" t="s">
        <v>2</v>
      </c>
      <c r="S9" t="s">
        <v>3</v>
      </c>
      <c r="T9" s="5" t="s">
        <v>5</v>
      </c>
    </row>
    <row r="10" spans="3:20" x14ac:dyDescent="0.2">
      <c r="C10" t="s">
        <v>18</v>
      </c>
      <c r="D10">
        <f>T10</f>
        <v>2.4862538847716956E-2</v>
      </c>
      <c r="E10">
        <v>0</v>
      </c>
      <c r="F10">
        <v>0</v>
      </c>
      <c r="G10">
        <v>0</v>
      </c>
      <c r="I10">
        <f>1/12</f>
        <v>8.3333333333333329E-2</v>
      </c>
      <c r="J10">
        <v>0</v>
      </c>
      <c r="K10">
        <f>1/12</f>
        <v>8.3333333333333329E-2</v>
      </c>
      <c r="L10">
        <f>1/7</f>
        <v>0.14285714285714285</v>
      </c>
      <c r="N10" s="28" t="s">
        <v>24</v>
      </c>
      <c r="O10">
        <v>83.66</v>
      </c>
      <c r="R10">
        <v>2.08</v>
      </c>
      <c r="S10">
        <f>R10</f>
        <v>2.08</v>
      </c>
      <c r="T10">
        <f t="shared" ref="T10:T21" si="0">R10/$S$21</f>
        <v>2.4862538847716956E-2</v>
      </c>
    </row>
    <row r="11" spans="3:20" x14ac:dyDescent="0.2">
      <c r="C11" t="s">
        <v>20</v>
      </c>
      <c r="D11">
        <f t="shared" ref="D11:D21" si="1">T11</f>
        <v>9.3951709299545799E-2</v>
      </c>
      <c r="E11">
        <v>0</v>
      </c>
      <c r="F11">
        <v>0</v>
      </c>
      <c r="G11">
        <v>0</v>
      </c>
      <c r="I11">
        <f t="shared" ref="I11:K21" si="2">1/12</f>
        <v>8.3333333333333329E-2</v>
      </c>
      <c r="J11">
        <v>0</v>
      </c>
      <c r="K11">
        <f t="shared" si="2"/>
        <v>8.3333333333333329E-2</v>
      </c>
      <c r="L11">
        <f t="shared" ref="L11:L16" si="3">1/7</f>
        <v>0.14285714285714285</v>
      </c>
      <c r="N11" s="28" t="s">
        <v>26</v>
      </c>
      <c r="O11">
        <v>0</v>
      </c>
      <c r="R11">
        <v>7.86</v>
      </c>
      <c r="S11">
        <f t="shared" ref="S11:S21" si="4">S10+R11</f>
        <v>9.9400000000000013</v>
      </c>
      <c r="T11">
        <f t="shared" si="0"/>
        <v>9.3951709299545799E-2</v>
      </c>
    </row>
    <row r="12" spans="3:20" x14ac:dyDescent="0.2">
      <c r="C12" t="s">
        <v>23</v>
      </c>
      <c r="D12">
        <f t="shared" si="1"/>
        <v>0.15479321061439161</v>
      </c>
      <c r="E12">
        <v>0</v>
      </c>
      <c r="F12">
        <v>0</v>
      </c>
      <c r="G12">
        <v>0</v>
      </c>
      <c r="I12">
        <f t="shared" si="2"/>
        <v>8.3333333333333329E-2</v>
      </c>
      <c r="J12">
        <v>0</v>
      </c>
      <c r="K12">
        <f t="shared" si="2"/>
        <v>8.3333333333333329E-2</v>
      </c>
      <c r="L12">
        <f t="shared" si="3"/>
        <v>0.14285714285714285</v>
      </c>
      <c r="N12" s="28" t="s">
        <v>28</v>
      </c>
      <c r="O12">
        <v>0</v>
      </c>
      <c r="R12">
        <v>12.95</v>
      </c>
      <c r="S12">
        <f t="shared" si="4"/>
        <v>22.89</v>
      </c>
      <c r="T12">
        <f t="shared" si="0"/>
        <v>0.15479321061439161</v>
      </c>
    </row>
    <row r="13" spans="3:20" x14ac:dyDescent="0.2">
      <c r="C13" t="s">
        <v>25</v>
      </c>
      <c r="D13">
        <f t="shared" si="1"/>
        <v>0.1711690174515898</v>
      </c>
      <c r="E13">
        <v>0</v>
      </c>
      <c r="F13">
        <v>0</v>
      </c>
      <c r="G13">
        <v>0</v>
      </c>
      <c r="I13">
        <f t="shared" si="2"/>
        <v>8.3333333333333329E-2</v>
      </c>
      <c r="J13">
        <v>0</v>
      </c>
      <c r="K13">
        <f t="shared" si="2"/>
        <v>8.3333333333333329E-2</v>
      </c>
      <c r="L13">
        <f t="shared" si="3"/>
        <v>0.14285714285714285</v>
      </c>
      <c r="N13" s="28" t="s">
        <v>30</v>
      </c>
      <c r="O13">
        <v>30</v>
      </c>
      <c r="R13">
        <v>14.32</v>
      </c>
      <c r="S13">
        <f t="shared" si="4"/>
        <v>37.21</v>
      </c>
      <c r="T13">
        <f t="shared" si="0"/>
        <v>0.1711690174515898</v>
      </c>
    </row>
    <row r="14" spans="3:20" x14ac:dyDescent="0.2">
      <c r="C14" t="s">
        <v>27</v>
      </c>
      <c r="D14">
        <f>T14</f>
        <v>0.16925651446330389</v>
      </c>
      <c r="E14">
        <v>0</v>
      </c>
      <c r="F14">
        <v>0</v>
      </c>
      <c r="G14">
        <v>0</v>
      </c>
      <c r="I14">
        <f t="shared" si="2"/>
        <v>8.3333333333333329E-2</v>
      </c>
      <c r="J14">
        <v>0</v>
      </c>
      <c r="K14">
        <f t="shared" si="2"/>
        <v>8.3333333333333329E-2</v>
      </c>
      <c r="L14">
        <f t="shared" si="3"/>
        <v>0.14285714285714285</v>
      </c>
      <c r="N14" s="28" t="s">
        <v>32</v>
      </c>
      <c r="O14">
        <v>0</v>
      </c>
      <c r="R14">
        <v>14.16</v>
      </c>
      <c r="S14">
        <f t="shared" si="4"/>
        <v>51.370000000000005</v>
      </c>
      <c r="T14">
        <f t="shared" si="0"/>
        <v>0.16925651446330389</v>
      </c>
    </row>
    <row r="15" spans="3:20" x14ac:dyDescent="0.2">
      <c r="C15" t="s">
        <v>29</v>
      </c>
      <c r="D15">
        <f t="shared" si="1"/>
        <v>0.18312216112837681</v>
      </c>
      <c r="E15">
        <v>0</v>
      </c>
      <c r="F15">
        <v>0</v>
      </c>
      <c r="G15">
        <v>0</v>
      </c>
      <c r="I15">
        <f t="shared" si="2"/>
        <v>8.3333333333333329E-2</v>
      </c>
      <c r="J15">
        <v>0</v>
      </c>
      <c r="K15">
        <f t="shared" si="2"/>
        <v>8.3333333333333329E-2</v>
      </c>
      <c r="L15">
        <f t="shared" si="3"/>
        <v>0.14285714285714285</v>
      </c>
      <c r="N15" s="28" t="s">
        <v>34</v>
      </c>
      <c r="O15">
        <v>0</v>
      </c>
      <c r="R15">
        <v>15.32</v>
      </c>
      <c r="S15">
        <f t="shared" si="4"/>
        <v>66.69</v>
      </c>
      <c r="T15">
        <f t="shared" si="0"/>
        <v>0.18312216112837681</v>
      </c>
    </row>
    <row r="16" spans="3:20" x14ac:dyDescent="0.2">
      <c r="C16" t="s">
        <v>31</v>
      </c>
      <c r="D16">
        <f t="shared" si="1"/>
        <v>8.1879034185990934E-2</v>
      </c>
      <c r="E16">
        <v>0</v>
      </c>
      <c r="F16">
        <v>0</v>
      </c>
      <c r="G16">
        <v>0</v>
      </c>
      <c r="I16">
        <f t="shared" si="2"/>
        <v>8.3333333333333329E-2</v>
      </c>
      <c r="J16">
        <v>0.05</v>
      </c>
      <c r="K16">
        <f t="shared" si="2"/>
        <v>8.3333333333333329E-2</v>
      </c>
      <c r="L16">
        <f t="shared" si="3"/>
        <v>0.14285714285714285</v>
      </c>
      <c r="R16">
        <v>6.85</v>
      </c>
      <c r="S16">
        <f t="shared" si="4"/>
        <v>73.539999999999992</v>
      </c>
      <c r="T16">
        <f t="shared" si="0"/>
        <v>8.1879034185990934E-2</v>
      </c>
    </row>
    <row r="17" spans="3:38" x14ac:dyDescent="0.2">
      <c r="C17" t="s">
        <v>33</v>
      </c>
      <c r="D17">
        <f t="shared" si="1"/>
        <v>4.6617260339469287E-2</v>
      </c>
      <c r="E17">
        <v>0</v>
      </c>
      <c r="F17">
        <v>0</v>
      </c>
      <c r="G17">
        <v>0</v>
      </c>
      <c r="I17">
        <f t="shared" si="2"/>
        <v>8.3333333333333329E-2</v>
      </c>
      <c r="J17">
        <v>0.14000000000000001</v>
      </c>
      <c r="K17">
        <f t="shared" si="2"/>
        <v>8.3333333333333329E-2</v>
      </c>
      <c r="L17">
        <v>0</v>
      </c>
      <c r="R17">
        <v>3.9</v>
      </c>
      <c r="S17">
        <f t="shared" si="4"/>
        <v>77.44</v>
      </c>
      <c r="T17">
        <f t="shared" si="0"/>
        <v>4.6617260339469287E-2</v>
      </c>
    </row>
    <row r="18" spans="3:38" x14ac:dyDescent="0.2">
      <c r="C18" t="s">
        <v>35</v>
      </c>
      <c r="D18">
        <f>T18</f>
        <v>2.7611761893377964E-2</v>
      </c>
      <c r="E18">
        <v>0</v>
      </c>
      <c r="F18">
        <v>0</v>
      </c>
      <c r="G18">
        <v>0</v>
      </c>
      <c r="I18">
        <f t="shared" si="2"/>
        <v>8.3333333333333329E-2</v>
      </c>
      <c r="J18">
        <v>0.22</v>
      </c>
      <c r="K18">
        <f t="shared" si="2"/>
        <v>8.3333333333333329E-2</v>
      </c>
      <c r="L18">
        <v>0</v>
      </c>
      <c r="R18">
        <v>2.31</v>
      </c>
      <c r="S18">
        <f t="shared" si="4"/>
        <v>79.75</v>
      </c>
      <c r="T18">
        <f t="shared" si="0"/>
        <v>2.7611761893377964E-2</v>
      </c>
    </row>
    <row r="19" spans="3:38" x14ac:dyDescent="0.2">
      <c r="C19" t="s">
        <v>36</v>
      </c>
      <c r="D19">
        <f t="shared" si="1"/>
        <v>1.7451589768109017E-2</v>
      </c>
      <c r="E19">
        <v>0</v>
      </c>
      <c r="F19">
        <v>0</v>
      </c>
      <c r="G19">
        <v>0</v>
      </c>
      <c r="I19">
        <f t="shared" si="2"/>
        <v>8.3333333333333329E-2</v>
      </c>
      <c r="J19">
        <v>0.25</v>
      </c>
      <c r="K19">
        <f t="shared" si="2"/>
        <v>8.3333333333333329E-2</v>
      </c>
      <c r="L19">
        <v>0</v>
      </c>
      <c r="R19">
        <v>1.46</v>
      </c>
      <c r="S19">
        <f t="shared" si="4"/>
        <v>81.209999999999994</v>
      </c>
      <c r="T19">
        <f t="shared" si="0"/>
        <v>1.7451589768109017E-2</v>
      </c>
    </row>
    <row r="20" spans="3:38" x14ac:dyDescent="0.2">
      <c r="C20" t="s">
        <v>37</v>
      </c>
      <c r="D20">
        <f t="shared" si="1"/>
        <v>1.3148458044465699E-2</v>
      </c>
      <c r="E20">
        <v>0</v>
      </c>
      <c r="F20">
        <v>0</v>
      </c>
      <c r="G20">
        <v>0</v>
      </c>
      <c r="I20">
        <f t="shared" si="2"/>
        <v>8.3333333333333329E-2</v>
      </c>
      <c r="J20">
        <v>0.23</v>
      </c>
      <c r="K20">
        <f t="shared" si="2"/>
        <v>8.3333333333333329E-2</v>
      </c>
      <c r="L20">
        <v>0</v>
      </c>
      <c r="R20">
        <v>1.1000000000000001</v>
      </c>
      <c r="S20">
        <f t="shared" si="4"/>
        <v>82.309999999999988</v>
      </c>
      <c r="T20">
        <f t="shared" si="0"/>
        <v>1.3148458044465699E-2</v>
      </c>
    </row>
    <row r="21" spans="3:38" x14ac:dyDescent="0.2">
      <c r="C21" t="s">
        <v>38</v>
      </c>
      <c r="D21">
        <f>T21</f>
        <v>1.6136743963662447E-2</v>
      </c>
      <c r="E21">
        <v>0</v>
      </c>
      <c r="F21">
        <v>0</v>
      </c>
      <c r="G21">
        <v>0</v>
      </c>
      <c r="I21">
        <f t="shared" si="2"/>
        <v>8.3333333333333329E-2</v>
      </c>
      <c r="J21">
        <v>0.11</v>
      </c>
      <c r="K21">
        <f t="shared" si="2"/>
        <v>8.3333333333333329E-2</v>
      </c>
      <c r="L21">
        <v>0</v>
      </c>
      <c r="R21">
        <v>1.35</v>
      </c>
      <c r="S21">
        <f t="shared" si="4"/>
        <v>83.659999999999982</v>
      </c>
      <c r="T21">
        <f t="shared" si="0"/>
        <v>1.6136743963662447E-2</v>
      </c>
    </row>
    <row r="22" spans="3:38" x14ac:dyDescent="0.2">
      <c r="T22" s="10">
        <f>SUM(T10:T21)</f>
        <v>1.0000000000000004</v>
      </c>
    </row>
    <row r="25" spans="3:38" x14ac:dyDescent="0.2">
      <c r="C25" s="3" t="s">
        <v>6</v>
      </c>
      <c r="D25" s="29" t="s">
        <v>2</v>
      </c>
      <c r="E25" s="29" t="s">
        <v>3</v>
      </c>
      <c r="F25" s="29" t="s">
        <v>39</v>
      </c>
      <c r="G25" s="29" t="s">
        <v>40</v>
      </c>
      <c r="H25" s="29" t="s">
        <v>2</v>
      </c>
      <c r="I25" s="30" t="s">
        <v>3</v>
      </c>
      <c r="J25" s="29" t="s">
        <v>41</v>
      </c>
      <c r="K25" s="29" t="s">
        <v>42</v>
      </c>
      <c r="L25" s="29" t="s">
        <v>43</v>
      </c>
      <c r="M25" s="29" t="s">
        <v>44</v>
      </c>
      <c r="N25" s="29" t="s">
        <v>43</v>
      </c>
      <c r="O25" s="29" t="s">
        <v>44</v>
      </c>
      <c r="P25" s="29" t="s">
        <v>43</v>
      </c>
      <c r="Q25" s="29" t="s">
        <v>44</v>
      </c>
      <c r="R25" s="29" t="s">
        <v>43</v>
      </c>
      <c r="S25" s="29" t="s">
        <v>44</v>
      </c>
      <c r="T25" s="21" t="s">
        <v>44</v>
      </c>
      <c r="U25" s="29" t="s">
        <v>43</v>
      </c>
      <c r="V25" s="30" t="s">
        <v>44</v>
      </c>
      <c r="W25" s="29" t="s">
        <v>45</v>
      </c>
      <c r="X25" s="29" t="s">
        <v>46</v>
      </c>
      <c r="Y25" s="29" t="s">
        <v>47</v>
      </c>
      <c r="Z25" s="29" t="s">
        <v>48</v>
      </c>
      <c r="AA25" s="2" t="s">
        <v>66</v>
      </c>
      <c r="AB25" s="2" t="s">
        <v>67</v>
      </c>
      <c r="AC25" s="3" t="s">
        <v>77</v>
      </c>
      <c r="AD25" s="21" t="s">
        <v>77</v>
      </c>
      <c r="AE25" s="26" t="s">
        <v>78</v>
      </c>
      <c r="AF25" s="3" t="s">
        <v>79</v>
      </c>
      <c r="AG25" s="21" t="s">
        <v>79</v>
      </c>
      <c r="AH25" s="2" t="s">
        <v>80</v>
      </c>
      <c r="AI25" s="3" t="s">
        <v>81</v>
      </c>
      <c r="AJ25" s="2" t="s">
        <v>82</v>
      </c>
      <c r="AK25" s="3" t="s">
        <v>83</v>
      </c>
      <c r="AL25" s="2" t="s">
        <v>84</v>
      </c>
    </row>
    <row r="26" spans="3:38" x14ac:dyDescent="0.2">
      <c r="C26" s="3"/>
      <c r="D26" s="3"/>
      <c r="E26" s="3"/>
      <c r="F26" s="3"/>
      <c r="G26" s="3"/>
      <c r="H26" s="3"/>
      <c r="I26" s="2"/>
      <c r="J26" s="3"/>
      <c r="K26" s="3"/>
      <c r="L26" s="3"/>
      <c r="M26" s="3"/>
      <c r="N26" s="3"/>
      <c r="O26" s="3"/>
      <c r="P26" s="3"/>
      <c r="Q26" s="3"/>
      <c r="R26" s="3"/>
      <c r="S26" s="3"/>
      <c r="T26" s="21"/>
      <c r="U26" s="3"/>
      <c r="V26" s="2"/>
      <c r="W26" s="3"/>
      <c r="X26" s="3"/>
      <c r="Y26" s="3"/>
      <c r="Z26" s="3"/>
      <c r="AA26" s="2"/>
      <c r="AB26" s="2"/>
      <c r="AC26" s="3"/>
      <c r="AD26" s="21"/>
      <c r="AE26" s="26"/>
      <c r="AF26" s="3"/>
      <c r="AG26" s="21"/>
      <c r="AH26" s="2"/>
      <c r="AI26" s="3"/>
      <c r="AJ26" s="2"/>
      <c r="AK26" s="3"/>
      <c r="AL26" s="2"/>
    </row>
    <row r="27" spans="3:38" x14ac:dyDescent="0.2">
      <c r="C27" s="3"/>
      <c r="D27" s="3"/>
      <c r="E27" s="3"/>
      <c r="F27" s="3"/>
      <c r="G27" s="3"/>
      <c r="H27" s="3" t="s">
        <v>49</v>
      </c>
      <c r="I27" s="2" t="s">
        <v>49</v>
      </c>
      <c r="J27" s="3" t="s">
        <v>50</v>
      </c>
      <c r="K27" s="3" t="s">
        <v>51</v>
      </c>
      <c r="L27" s="3" t="s">
        <v>52</v>
      </c>
      <c r="M27" s="3" t="s">
        <v>52</v>
      </c>
      <c r="N27" s="3" t="s">
        <v>53</v>
      </c>
      <c r="O27" s="3" t="s">
        <v>54</v>
      </c>
      <c r="P27" s="3" t="s">
        <v>55</v>
      </c>
      <c r="Q27" s="3" t="s">
        <v>55</v>
      </c>
      <c r="R27" s="3" t="s">
        <v>56</v>
      </c>
      <c r="S27" s="3" t="s">
        <v>56</v>
      </c>
      <c r="T27" s="21" t="s">
        <v>56</v>
      </c>
      <c r="U27" s="3" t="s">
        <v>57</v>
      </c>
      <c r="V27" s="2" t="s">
        <v>57</v>
      </c>
      <c r="W27" s="3"/>
      <c r="X27" s="3"/>
      <c r="Y27" s="3"/>
      <c r="Z27" s="3"/>
      <c r="AA27" s="2"/>
      <c r="AB27" s="2"/>
      <c r="AC27" s="3"/>
      <c r="AD27" s="21"/>
      <c r="AE27" s="26"/>
      <c r="AF27" s="3"/>
      <c r="AG27" s="21"/>
      <c r="AH27" s="2"/>
      <c r="AI27" s="3"/>
      <c r="AJ27" s="2"/>
      <c r="AK27" s="3"/>
      <c r="AL27" s="2"/>
    </row>
    <row r="28" spans="3:38" x14ac:dyDescent="0.2">
      <c r="C28" s="3"/>
      <c r="D28" s="3" t="s">
        <v>4</v>
      </c>
      <c r="E28" s="3" t="s">
        <v>4</v>
      </c>
      <c r="F28" s="3" t="s">
        <v>4</v>
      </c>
      <c r="G28" s="3" t="s">
        <v>4</v>
      </c>
      <c r="H28" s="3" t="s">
        <v>4</v>
      </c>
      <c r="I28" s="2" t="s">
        <v>4</v>
      </c>
      <c r="J28" s="3" t="s">
        <v>58</v>
      </c>
      <c r="K28" s="3" t="s">
        <v>4</v>
      </c>
      <c r="L28" s="3" t="s">
        <v>59</v>
      </c>
      <c r="M28" s="3" t="s">
        <v>4</v>
      </c>
      <c r="N28" s="3" t="s">
        <v>4</v>
      </c>
      <c r="O28" s="3" t="s">
        <v>4</v>
      </c>
      <c r="P28" s="3" t="s">
        <v>59</v>
      </c>
      <c r="Q28" s="3" t="s">
        <v>4</v>
      </c>
      <c r="R28" s="3" t="s">
        <v>59</v>
      </c>
      <c r="S28" s="3" t="s">
        <v>4</v>
      </c>
      <c r="T28" s="21" t="s">
        <v>4</v>
      </c>
      <c r="U28" s="3" t="s">
        <v>4</v>
      </c>
      <c r="V28" s="2" t="s">
        <v>4</v>
      </c>
      <c r="W28" s="3" t="s">
        <v>4</v>
      </c>
      <c r="X28" s="3" t="s">
        <v>4</v>
      </c>
      <c r="Y28" s="3" t="s">
        <v>4</v>
      </c>
      <c r="Z28" s="3" t="s">
        <v>4</v>
      </c>
      <c r="AA28" s="2" t="s">
        <v>4</v>
      </c>
      <c r="AB28" s="2" t="s">
        <v>4</v>
      </c>
      <c r="AC28" s="3" t="s">
        <v>4</v>
      </c>
      <c r="AD28" s="21" t="s">
        <v>4</v>
      </c>
      <c r="AE28" s="26" t="s">
        <v>4</v>
      </c>
      <c r="AF28" s="3" t="s">
        <v>4</v>
      </c>
      <c r="AG28" s="21" t="s">
        <v>4</v>
      </c>
      <c r="AH28" s="2" t="s">
        <v>4</v>
      </c>
      <c r="AI28" s="3" t="s">
        <v>4</v>
      </c>
      <c r="AJ28" s="2" t="s">
        <v>4</v>
      </c>
      <c r="AK28" s="3" t="s">
        <v>4</v>
      </c>
      <c r="AL28" s="2" t="s">
        <v>4</v>
      </c>
    </row>
    <row r="29" spans="3:38" x14ac:dyDescent="0.2">
      <c r="C29" t="s">
        <v>18</v>
      </c>
      <c r="D29">
        <f>D10*$O$10</f>
        <v>2.0800000000000005</v>
      </c>
      <c r="E29">
        <f>D29</f>
        <v>2.0800000000000005</v>
      </c>
      <c r="F29">
        <f>E10*$O$11</f>
        <v>0</v>
      </c>
      <c r="G29">
        <f>F29</f>
        <v>0</v>
      </c>
      <c r="H29">
        <f>D29+F29</f>
        <v>2.0800000000000005</v>
      </c>
      <c r="I29" s="1">
        <f>H29</f>
        <v>2.0800000000000005</v>
      </c>
      <c r="J29">
        <f>H10*$O$12</f>
        <v>0</v>
      </c>
      <c r="K29">
        <f>J29</f>
        <v>0</v>
      </c>
      <c r="L29">
        <f>I10*$O$13</f>
        <v>2.5</v>
      </c>
      <c r="M29" s="9">
        <f>L29</f>
        <v>2.5</v>
      </c>
      <c r="N29">
        <f>J10*$O$14</f>
        <v>0</v>
      </c>
      <c r="O29">
        <f>N29</f>
        <v>0</v>
      </c>
      <c r="P29">
        <f>K10*$O$15</f>
        <v>0</v>
      </c>
      <c r="Q29">
        <f>P29</f>
        <v>0</v>
      </c>
      <c r="R29">
        <v>0</v>
      </c>
      <c r="S29">
        <f>R29</f>
        <v>0</v>
      </c>
      <c r="T29" s="21">
        <v>0</v>
      </c>
      <c r="U29">
        <f>(J29+L29+N29+P29+R29)</f>
        <v>2.5</v>
      </c>
      <c r="V29" s="1">
        <f>U29</f>
        <v>2.5</v>
      </c>
      <c r="W29">
        <f>H29-U29</f>
        <v>-0.41999999999999948</v>
      </c>
      <c r="X29">
        <f>W29</f>
        <v>-0.41999999999999948</v>
      </c>
      <c r="Y29">
        <f>W29+$O$9</f>
        <v>18.080000000000002</v>
      </c>
      <c r="Z29">
        <f>X29+$O$9</f>
        <v>18.080000000000002</v>
      </c>
      <c r="AA29" s="1">
        <f>IF(Z29&lt;=$O$7,Z29,$O$7)</f>
        <v>18.080000000000002</v>
      </c>
      <c r="AB29" s="1">
        <f>IF(Z29&lt;=$O$8,AA29,$O$8)</f>
        <v>18.080000000000002</v>
      </c>
      <c r="AC29">
        <f t="shared" ref="AC29:AC40" si="5">IF(AA29&lt;$O$7,0,W29)</f>
        <v>0</v>
      </c>
      <c r="AD29" s="21">
        <f t="shared" ref="AD29:AD40" si="6">IF(AC29&lt;0,0,AC29)</f>
        <v>0</v>
      </c>
      <c r="AE29" s="26">
        <f>AD29</f>
        <v>0</v>
      </c>
      <c r="AF29">
        <f t="shared" ref="AF29:AF40" si="7">IF(AB29&lt;$O$8,0,W29)</f>
        <v>0</v>
      </c>
      <c r="AG29" s="21">
        <f>IF(AF29&lt;0,0,AF29)</f>
        <v>0</v>
      </c>
      <c r="AH29" s="1">
        <f>AG29</f>
        <v>0</v>
      </c>
      <c r="AI29">
        <f t="shared" ref="AI29:AI40" si="8">W29-AD29</f>
        <v>-0.41999999999999948</v>
      </c>
      <c r="AJ29" s="1">
        <f>AI29</f>
        <v>-0.41999999999999948</v>
      </c>
      <c r="AK29">
        <f t="shared" ref="AK29:AK40" si="9">W29-AG29</f>
        <v>-0.41999999999999948</v>
      </c>
      <c r="AL29" s="1">
        <f>AK29</f>
        <v>-0.41999999999999948</v>
      </c>
    </row>
    <row r="30" spans="3:38" x14ac:dyDescent="0.2">
      <c r="C30" t="s">
        <v>20</v>
      </c>
      <c r="D30">
        <f t="shared" ref="D30:D40" si="10">D11*$O$10</f>
        <v>7.8600000000000012</v>
      </c>
      <c r="E30">
        <f>E29+D30</f>
        <v>9.9400000000000013</v>
      </c>
      <c r="F30">
        <v>0</v>
      </c>
      <c r="G30">
        <f>G29+F30</f>
        <v>0</v>
      </c>
      <c r="H30">
        <f t="shared" ref="H30:H40" si="11">D30+F30</f>
        <v>7.8600000000000012</v>
      </c>
      <c r="I30" s="1">
        <f>I29+H30</f>
        <v>9.9400000000000013</v>
      </c>
      <c r="J30">
        <f t="shared" ref="J30:J40" si="12">H11*$O$12</f>
        <v>0</v>
      </c>
      <c r="K30">
        <f>K29+J30</f>
        <v>0</v>
      </c>
      <c r="L30">
        <f t="shared" ref="L30:L40" si="13">I11*$O$13</f>
        <v>2.5</v>
      </c>
      <c r="M30">
        <f>M29+L30</f>
        <v>5</v>
      </c>
      <c r="N30">
        <f t="shared" ref="N30:N40" si="14">J11*$O$14</f>
        <v>0</v>
      </c>
      <c r="O30">
        <f>O29+N30</f>
        <v>0</v>
      </c>
      <c r="P30">
        <f t="shared" ref="P30:P40" si="15">K11*$O$15</f>
        <v>0</v>
      </c>
      <c r="Q30">
        <f>Q29+P30</f>
        <v>0</v>
      </c>
      <c r="R30">
        <v>0</v>
      </c>
      <c r="S30">
        <f t="shared" ref="S30:S40" si="16">S29+R30</f>
        <v>0</v>
      </c>
      <c r="T30" s="21">
        <v>0</v>
      </c>
      <c r="U30">
        <f t="shared" ref="U30:U40" si="17">(J30+L30+N30+P30+R30)</f>
        <v>2.5</v>
      </c>
      <c r="V30" s="1">
        <f xml:space="preserve"> V29+U30</f>
        <v>5</v>
      </c>
      <c r="W30">
        <f t="shared" ref="W30:W40" si="18">H30-U30</f>
        <v>5.3600000000000012</v>
      </c>
      <c r="X30">
        <f>X29+W30</f>
        <v>4.9400000000000013</v>
      </c>
      <c r="Y30">
        <f t="shared" ref="Y30:Z41" si="19">W30+$O$9</f>
        <v>23.86</v>
      </c>
      <c r="Z30">
        <f t="shared" si="19"/>
        <v>23.44</v>
      </c>
      <c r="AA30" s="1">
        <f t="shared" ref="AA30:AA40" si="20">IF(Z30&lt;=$O$7,Z30,$O$7)</f>
        <v>23.44</v>
      </c>
      <c r="AB30" s="1">
        <f t="shared" ref="AB30:AB40" si="21">IF(Z30&lt;=$O$8,AA30,$O$8)</f>
        <v>23.44</v>
      </c>
      <c r="AC30">
        <f t="shared" si="5"/>
        <v>0</v>
      </c>
      <c r="AD30" s="21">
        <f t="shared" si="6"/>
        <v>0</v>
      </c>
      <c r="AE30" s="26">
        <f>AE29+AD30</f>
        <v>0</v>
      </c>
      <c r="AF30">
        <f t="shared" si="7"/>
        <v>0</v>
      </c>
      <c r="AG30" s="21">
        <f t="shared" ref="AG30:AG40" si="22">IF(AF30&lt;0,0,AF30)</f>
        <v>0</v>
      </c>
      <c r="AH30" s="1">
        <f>AH29+AG30</f>
        <v>0</v>
      </c>
      <c r="AI30">
        <f t="shared" si="8"/>
        <v>5.3600000000000012</v>
      </c>
      <c r="AJ30" s="1">
        <f>AJ29+AI30</f>
        <v>4.9400000000000013</v>
      </c>
      <c r="AK30">
        <f t="shared" si="9"/>
        <v>5.3600000000000012</v>
      </c>
      <c r="AL30" s="1">
        <f>AL29+AK30</f>
        <v>4.9400000000000013</v>
      </c>
    </row>
    <row r="31" spans="3:38" x14ac:dyDescent="0.2">
      <c r="C31" t="s">
        <v>23</v>
      </c>
      <c r="D31">
        <f t="shared" si="10"/>
        <v>12.950000000000001</v>
      </c>
      <c r="E31">
        <f t="shared" ref="E31:E40" si="23">E30+D31</f>
        <v>22.89</v>
      </c>
      <c r="F31">
        <v>0</v>
      </c>
      <c r="G31">
        <f t="shared" ref="G31:G40" si="24">G30+F31</f>
        <v>0</v>
      </c>
      <c r="H31">
        <f t="shared" si="11"/>
        <v>12.950000000000001</v>
      </c>
      <c r="I31" s="1">
        <f t="shared" ref="I31:I40" si="25">I30+H31</f>
        <v>22.89</v>
      </c>
      <c r="J31">
        <f t="shared" si="12"/>
        <v>0</v>
      </c>
      <c r="K31">
        <f>K30+J31</f>
        <v>0</v>
      </c>
      <c r="L31">
        <f t="shared" si="13"/>
        <v>2.5</v>
      </c>
      <c r="M31">
        <f t="shared" ref="M31:M40" si="26">M30+L31</f>
        <v>7.5</v>
      </c>
      <c r="N31">
        <f t="shared" si="14"/>
        <v>0</v>
      </c>
      <c r="O31">
        <f t="shared" ref="O31:O40" si="27">O30+N31</f>
        <v>0</v>
      </c>
      <c r="P31">
        <f t="shared" si="15"/>
        <v>0</v>
      </c>
      <c r="Q31">
        <f t="shared" ref="Q31:Q40" si="28">Q30+P31</f>
        <v>0</v>
      </c>
      <c r="R31">
        <v>0</v>
      </c>
      <c r="S31">
        <f t="shared" si="16"/>
        <v>0</v>
      </c>
      <c r="T31" s="21">
        <v>0</v>
      </c>
      <c r="U31">
        <f t="shared" si="17"/>
        <v>2.5</v>
      </c>
      <c r="V31" s="1">
        <f t="shared" ref="V31:V40" si="29" xml:space="preserve"> V30+U31</f>
        <v>7.5</v>
      </c>
      <c r="W31">
        <f t="shared" si="18"/>
        <v>10.450000000000001</v>
      </c>
      <c r="X31">
        <f t="shared" ref="X31:X40" si="30">X30+W31</f>
        <v>15.390000000000002</v>
      </c>
      <c r="Y31">
        <f t="shared" si="19"/>
        <v>28.950000000000003</v>
      </c>
      <c r="Z31">
        <f t="shared" si="19"/>
        <v>33.89</v>
      </c>
      <c r="AA31" s="1">
        <f t="shared" si="20"/>
        <v>33.89</v>
      </c>
      <c r="AB31" s="1">
        <f t="shared" si="21"/>
        <v>33.89</v>
      </c>
      <c r="AC31">
        <f t="shared" si="5"/>
        <v>0</v>
      </c>
      <c r="AD31" s="21">
        <f t="shared" si="6"/>
        <v>0</v>
      </c>
      <c r="AE31" s="26">
        <f t="shared" ref="AE31:AE40" si="31">AE30+AD31</f>
        <v>0</v>
      </c>
      <c r="AF31">
        <f t="shared" si="7"/>
        <v>0</v>
      </c>
      <c r="AG31" s="21">
        <f t="shared" si="22"/>
        <v>0</v>
      </c>
      <c r="AH31" s="1">
        <f t="shared" ref="AH31:AH40" si="32">AH30+AG31</f>
        <v>0</v>
      </c>
      <c r="AI31">
        <f t="shared" si="8"/>
        <v>10.450000000000001</v>
      </c>
      <c r="AJ31" s="1">
        <f t="shared" ref="AJ31:AJ40" si="33">AJ30+AI31</f>
        <v>15.390000000000002</v>
      </c>
      <c r="AK31">
        <f t="shared" si="9"/>
        <v>10.450000000000001</v>
      </c>
      <c r="AL31" s="1">
        <f t="shared" ref="AL31:AL40" si="34">AL30+AK31</f>
        <v>15.390000000000002</v>
      </c>
    </row>
    <row r="32" spans="3:38" x14ac:dyDescent="0.2">
      <c r="C32" t="s">
        <v>25</v>
      </c>
      <c r="D32">
        <f t="shared" si="10"/>
        <v>14.320000000000002</v>
      </c>
      <c r="E32">
        <f t="shared" si="23"/>
        <v>37.21</v>
      </c>
      <c r="F32">
        <v>0</v>
      </c>
      <c r="G32">
        <f t="shared" si="24"/>
        <v>0</v>
      </c>
      <c r="H32">
        <f t="shared" si="11"/>
        <v>14.320000000000002</v>
      </c>
      <c r="I32" s="1">
        <f t="shared" si="25"/>
        <v>37.21</v>
      </c>
      <c r="J32">
        <f t="shared" si="12"/>
        <v>0</v>
      </c>
      <c r="K32">
        <f t="shared" ref="K32:K40" si="35">K31+J32</f>
        <v>0</v>
      </c>
      <c r="L32">
        <f t="shared" si="13"/>
        <v>2.5</v>
      </c>
      <c r="M32">
        <f t="shared" si="26"/>
        <v>10</v>
      </c>
      <c r="N32">
        <f t="shared" si="14"/>
        <v>0</v>
      </c>
      <c r="O32">
        <f t="shared" si="27"/>
        <v>0</v>
      </c>
      <c r="P32">
        <f t="shared" si="15"/>
        <v>0</v>
      </c>
      <c r="Q32">
        <f t="shared" si="28"/>
        <v>0</v>
      </c>
      <c r="R32">
        <v>0</v>
      </c>
      <c r="S32">
        <f t="shared" si="16"/>
        <v>0</v>
      </c>
      <c r="T32" s="21">
        <v>0</v>
      </c>
      <c r="U32">
        <f t="shared" si="17"/>
        <v>2.5</v>
      </c>
      <c r="V32" s="1">
        <f t="shared" si="29"/>
        <v>10</v>
      </c>
      <c r="W32">
        <f t="shared" si="18"/>
        <v>11.820000000000002</v>
      </c>
      <c r="X32">
        <f t="shared" si="30"/>
        <v>27.210000000000004</v>
      </c>
      <c r="Y32">
        <f t="shared" si="19"/>
        <v>30.32</v>
      </c>
      <c r="Z32">
        <f t="shared" si="19"/>
        <v>45.710000000000008</v>
      </c>
      <c r="AA32" s="1">
        <f t="shared" si="20"/>
        <v>45.710000000000008</v>
      </c>
      <c r="AB32" s="1">
        <f t="shared" si="21"/>
        <v>45.710000000000008</v>
      </c>
      <c r="AC32">
        <f t="shared" si="5"/>
        <v>0</v>
      </c>
      <c r="AD32" s="21">
        <f t="shared" si="6"/>
        <v>0</v>
      </c>
      <c r="AE32" s="26">
        <f t="shared" si="31"/>
        <v>0</v>
      </c>
      <c r="AF32">
        <f t="shared" si="7"/>
        <v>0</v>
      </c>
      <c r="AG32" s="21">
        <f t="shared" si="22"/>
        <v>0</v>
      </c>
      <c r="AH32" s="1">
        <f t="shared" si="32"/>
        <v>0</v>
      </c>
      <c r="AI32">
        <f t="shared" si="8"/>
        <v>11.820000000000002</v>
      </c>
      <c r="AJ32" s="1">
        <f t="shared" si="33"/>
        <v>27.210000000000004</v>
      </c>
      <c r="AK32">
        <f t="shared" si="9"/>
        <v>11.820000000000002</v>
      </c>
      <c r="AL32" s="1">
        <f t="shared" si="34"/>
        <v>27.210000000000004</v>
      </c>
    </row>
    <row r="33" spans="3:38" x14ac:dyDescent="0.2">
      <c r="C33" t="s">
        <v>27</v>
      </c>
      <c r="D33">
        <f t="shared" si="10"/>
        <v>14.160000000000004</v>
      </c>
      <c r="E33">
        <f t="shared" si="23"/>
        <v>51.370000000000005</v>
      </c>
      <c r="F33">
        <v>0</v>
      </c>
      <c r="G33">
        <f t="shared" si="24"/>
        <v>0</v>
      </c>
      <c r="H33">
        <f t="shared" si="11"/>
        <v>14.160000000000004</v>
      </c>
      <c r="I33" s="1">
        <f t="shared" si="25"/>
        <v>51.370000000000005</v>
      </c>
      <c r="J33">
        <f t="shared" si="12"/>
        <v>0</v>
      </c>
      <c r="K33">
        <f t="shared" si="35"/>
        <v>0</v>
      </c>
      <c r="L33">
        <f t="shared" si="13"/>
        <v>2.5</v>
      </c>
      <c r="M33">
        <f t="shared" si="26"/>
        <v>12.5</v>
      </c>
      <c r="N33">
        <f t="shared" si="14"/>
        <v>0</v>
      </c>
      <c r="O33">
        <f t="shared" si="27"/>
        <v>0</v>
      </c>
      <c r="P33">
        <f t="shared" si="15"/>
        <v>0</v>
      </c>
      <c r="Q33">
        <f t="shared" si="28"/>
        <v>0</v>
      </c>
      <c r="R33">
        <v>0</v>
      </c>
      <c r="S33">
        <f t="shared" si="16"/>
        <v>0</v>
      </c>
      <c r="T33" s="21">
        <v>0</v>
      </c>
      <c r="U33">
        <f t="shared" si="17"/>
        <v>2.5</v>
      </c>
      <c r="V33" s="1">
        <f t="shared" si="29"/>
        <v>12.5</v>
      </c>
      <c r="W33">
        <f t="shared" si="18"/>
        <v>11.660000000000004</v>
      </c>
      <c r="X33">
        <f t="shared" si="30"/>
        <v>38.870000000000005</v>
      </c>
      <c r="Y33">
        <f t="shared" si="19"/>
        <v>30.160000000000004</v>
      </c>
      <c r="Z33">
        <f t="shared" si="19"/>
        <v>57.370000000000005</v>
      </c>
      <c r="AA33" s="1">
        <f t="shared" si="20"/>
        <v>57.370000000000005</v>
      </c>
      <c r="AB33" s="1">
        <f t="shared" si="21"/>
        <v>47</v>
      </c>
      <c r="AC33">
        <f t="shared" si="5"/>
        <v>0</v>
      </c>
      <c r="AD33" s="21">
        <f t="shared" si="6"/>
        <v>0</v>
      </c>
      <c r="AE33" s="26">
        <f t="shared" si="31"/>
        <v>0</v>
      </c>
      <c r="AF33">
        <f t="shared" si="7"/>
        <v>11.660000000000004</v>
      </c>
      <c r="AG33" s="21">
        <f t="shared" si="22"/>
        <v>11.660000000000004</v>
      </c>
      <c r="AH33" s="1">
        <f t="shared" si="32"/>
        <v>11.660000000000004</v>
      </c>
      <c r="AI33">
        <f t="shared" si="8"/>
        <v>11.660000000000004</v>
      </c>
      <c r="AJ33" s="1">
        <f t="shared" si="33"/>
        <v>38.870000000000005</v>
      </c>
      <c r="AK33">
        <f t="shared" si="9"/>
        <v>0</v>
      </c>
      <c r="AL33" s="1">
        <f t="shared" si="34"/>
        <v>27.210000000000004</v>
      </c>
    </row>
    <row r="34" spans="3:38" x14ac:dyDescent="0.2">
      <c r="C34" t="s">
        <v>29</v>
      </c>
      <c r="D34">
        <f t="shared" si="10"/>
        <v>15.320000000000004</v>
      </c>
      <c r="E34">
        <f t="shared" si="23"/>
        <v>66.690000000000012</v>
      </c>
      <c r="F34">
        <v>0</v>
      </c>
      <c r="G34">
        <f t="shared" si="24"/>
        <v>0</v>
      </c>
      <c r="H34">
        <f t="shared" si="11"/>
        <v>15.320000000000004</v>
      </c>
      <c r="I34" s="1">
        <f t="shared" si="25"/>
        <v>66.690000000000012</v>
      </c>
      <c r="J34">
        <f t="shared" si="12"/>
        <v>0</v>
      </c>
      <c r="K34">
        <f t="shared" si="35"/>
        <v>0</v>
      </c>
      <c r="L34">
        <f t="shared" si="13"/>
        <v>2.5</v>
      </c>
      <c r="M34">
        <f t="shared" si="26"/>
        <v>15</v>
      </c>
      <c r="N34">
        <f t="shared" si="14"/>
        <v>0</v>
      </c>
      <c r="O34">
        <f t="shared" si="27"/>
        <v>0</v>
      </c>
      <c r="P34">
        <f t="shared" si="15"/>
        <v>0</v>
      </c>
      <c r="Q34">
        <f t="shared" si="28"/>
        <v>0</v>
      </c>
      <c r="R34">
        <v>0</v>
      </c>
      <c r="S34">
        <f t="shared" si="16"/>
        <v>0</v>
      </c>
      <c r="T34" s="21">
        <v>0</v>
      </c>
      <c r="U34">
        <f t="shared" si="17"/>
        <v>2.5</v>
      </c>
      <c r="V34" s="1">
        <f t="shared" si="29"/>
        <v>15</v>
      </c>
      <c r="W34">
        <f t="shared" si="18"/>
        <v>12.820000000000004</v>
      </c>
      <c r="X34">
        <f t="shared" si="30"/>
        <v>51.690000000000012</v>
      </c>
      <c r="Y34">
        <f t="shared" si="19"/>
        <v>31.320000000000004</v>
      </c>
      <c r="Z34">
        <f t="shared" si="19"/>
        <v>70.190000000000012</v>
      </c>
      <c r="AA34" s="1">
        <f t="shared" si="20"/>
        <v>70.190000000000012</v>
      </c>
      <c r="AB34" s="1">
        <f t="shared" si="21"/>
        <v>47</v>
      </c>
      <c r="AC34">
        <f t="shared" si="5"/>
        <v>0</v>
      </c>
      <c r="AD34" s="21">
        <f t="shared" si="6"/>
        <v>0</v>
      </c>
      <c r="AE34" s="26">
        <f t="shared" si="31"/>
        <v>0</v>
      </c>
      <c r="AF34">
        <f t="shared" si="7"/>
        <v>12.820000000000004</v>
      </c>
      <c r="AG34" s="21">
        <f t="shared" si="22"/>
        <v>12.820000000000004</v>
      </c>
      <c r="AH34" s="1">
        <f t="shared" si="32"/>
        <v>24.480000000000008</v>
      </c>
      <c r="AI34">
        <f t="shared" si="8"/>
        <v>12.820000000000004</v>
      </c>
      <c r="AJ34" s="1">
        <f t="shared" si="33"/>
        <v>51.690000000000012</v>
      </c>
      <c r="AK34">
        <f t="shared" si="9"/>
        <v>0</v>
      </c>
      <c r="AL34" s="1">
        <f t="shared" si="34"/>
        <v>27.210000000000004</v>
      </c>
    </row>
    <row r="35" spans="3:38" x14ac:dyDescent="0.2">
      <c r="C35" t="s">
        <v>31</v>
      </c>
      <c r="D35">
        <f t="shared" si="10"/>
        <v>6.8500000000000014</v>
      </c>
      <c r="E35">
        <f t="shared" si="23"/>
        <v>73.54000000000002</v>
      </c>
      <c r="F35">
        <v>0</v>
      </c>
      <c r="G35">
        <f t="shared" si="24"/>
        <v>0</v>
      </c>
      <c r="H35">
        <f t="shared" si="11"/>
        <v>6.8500000000000014</v>
      </c>
      <c r="I35" s="1">
        <f t="shared" si="25"/>
        <v>73.54000000000002</v>
      </c>
      <c r="J35">
        <f t="shared" si="12"/>
        <v>0</v>
      </c>
      <c r="K35">
        <f t="shared" si="35"/>
        <v>0</v>
      </c>
      <c r="L35">
        <f t="shared" si="13"/>
        <v>2.5</v>
      </c>
      <c r="M35">
        <f t="shared" si="26"/>
        <v>17.5</v>
      </c>
      <c r="N35">
        <f t="shared" si="14"/>
        <v>0</v>
      </c>
      <c r="O35">
        <f t="shared" si="27"/>
        <v>0</v>
      </c>
      <c r="P35">
        <f t="shared" si="15"/>
        <v>0</v>
      </c>
      <c r="Q35">
        <f t="shared" si="28"/>
        <v>0</v>
      </c>
      <c r="R35">
        <v>0</v>
      </c>
      <c r="S35">
        <f t="shared" si="16"/>
        <v>0</v>
      </c>
      <c r="T35" s="21">
        <v>0</v>
      </c>
      <c r="U35">
        <f t="shared" si="17"/>
        <v>2.5</v>
      </c>
      <c r="V35" s="1">
        <f t="shared" si="29"/>
        <v>17.5</v>
      </c>
      <c r="W35">
        <f t="shared" si="18"/>
        <v>4.3500000000000014</v>
      </c>
      <c r="X35">
        <f t="shared" si="30"/>
        <v>56.040000000000013</v>
      </c>
      <c r="Y35">
        <f t="shared" si="19"/>
        <v>22.85</v>
      </c>
      <c r="Z35">
        <f t="shared" si="19"/>
        <v>74.54000000000002</v>
      </c>
      <c r="AA35" s="1">
        <f t="shared" si="20"/>
        <v>74</v>
      </c>
      <c r="AB35" s="1">
        <f t="shared" si="21"/>
        <v>47</v>
      </c>
      <c r="AC35">
        <f t="shared" si="5"/>
        <v>4.3500000000000014</v>
      </c>
      <c r="AD35" s="21">
        <f t="shared" si="6"/>
        <v>4.3500000000000014</v>
      </c>
      <c r="AE35" s="26">
        <f t="shared" si="31"/>
        <v>4.3500000000000014</v>
      </c>
      <c r="AF35">
        <f t="shared" si="7"/>
        <v>4.3500000000000014</v>
      </c>
      <c r="AG35" s="21">
        <f t="shared" si="22"/>
        <v>4.3500000000000014</v>
      </c>
      <c r="AH35" s="1">
        <f t="shared" si="32"/>
        <v>28.830000000000009</v>
      </c>
      <c r="AI35">
        <f t="shared" si="8"/>
        <v>0</v>
      </c>
      <c r="AJ35" s="1">
        <f t="shared" si="33"/>
        <v>51.690000000000012</v>
      </c>
      <c r="AK35">
        <f t="shared" si="9"/>
        <v>0</v>
      </c>
      <c r="AL35" s="1">
        <f t="shared" si="34"/>
        <v>27.210000000000004</v>
      </c>
    </row>
    <row r="36" spans="3:38" x14ac:dyDescent="0.2">
      <c r="C36" t="s">
        <v>33</v>
      </c>
      <c r="D36">
        <f t="shared" si="10"/>
        <v>3.9000000000000004</v>
      </c>
      <c r="E36">
        <f t="shared" si="23"/>
        <v>77.440000000000026</v>
      </c>
      <c r="F36">
        <v>0</v>
      </c>
      <c r="G36">
        <f t="shared" si="24"/>
        <v>0</v>
      </c>
      <c r="H36">
        <f t="shared" si="11"/>
        <v>3.9000000000000004</v>
      </c>
      <c r="I36" s="1">
        <f t="shared" si="25"/>
        <v>77.440000000000026</v>
      </c>
      <c r="J36">
        <f t="shared" si="12"/>
        <v>0</v>
      </c>
      <c r="K36">
        <f t="shared" si="35"/>
        <v>0</v>
      </c>
      <c r="L36">
        <f t="shared" si="13"/>
        <v>2.5</v>
      </c>
      <c r="M36">
        <f t="shared" si="26"/>
        <v>20</v>
      </c>
      <c r="N36">
        <f t="shared" si="14"/>
        <v>0</v>
      </c>
      <c r="O36">
        <f t="shared" si="27"/>
        <v>0</v>
      </c>
      <c r="P36">
        <f t="shared" si="15"/>
        <v>0</v>
      </c>
      <c r="Q36">
        <f t="shared" si="28"/>
        <v>0</v>
      </c>
      <c r="R36">
        <v>0</v>
      </c>
      <c r="S36">
        <f t="shared" si="16"/>
        <v>0</v>
      </c>
      <c r="T36" s="21">
        <v>0</v>
      </c>
      <c r="U36">
        <f t="shared" si="17"/>
        <v>2.5</v>
      </c>
      <c r="V36" s="1">
        <f t="shared" si="29"/>
        <v>20</v>
      </c>
      <c r="W36">
        <f t="shared" si="18"/>
        <v>1.4000000000000004</v>
      </c>
      <c r="X36">
        <f t="shared" si="30"/>
        <v>57.440000000000012</v>
      </c>
      <c r="Y36">
        <f t="shared" si="19"/>
        <v>19.899999999999999</v>
      </c>
      <c r="Z36">
        <f t="shared" si="19"/>
        <v>75.940000000000012</v>
      </c>
      <c r="AA36" s="1">
        <f t="shared" si="20"/>
        <v>74</v>
      </c>
      <c r="AB36" s="1">
        <f t="shared" si="21"/>
        <v>47</v>
      </c>
      <c r="AC36">
        <f t="shared" si="5"/>
        <v>1.4000000000000004</v>
      </c>
      <c r="AD36" s="21">
        <f t="shared" si="6"/>
        <v>1.4000000000000004</v>
      </c>
      <c r="AE36" s="26">
        <f t="shared" si="31"/>
        <v>5.7500000000000018</v>
      </c>
      <c r="AF36">
        <f t="shared" si="7"/>
        <v>1.4000000000000004</v>
      </c>
      <c r="AG36" s="21">
        <f t="shared" si="22"/>
        <v>1.4000000000000004</v>
      </c>
      <c r="AH36" s="1">
        <f t="shared" si="32"/>
        <v>30.230000000000011</v>
      </c>
      <c r="AI36">
        <f t="shared" si="8"/>
        <v>0</v>
      </c>
      <c r="AJ36" s="1">
        <f t="shared" si="33"/>
        <v>51.690000000000012</v>
      </c>
      <c r="AK36">
        <f t="shared" si="9"/>
        <v>0</v>
      </c>
      <c r="AL36" s="1">
        <f t="shared" si="34"/>
        <v>27.210000000000004</v>
      </c>
    </row>
    <row r="37" spans="3:38" x14ac:dyDescent="0.2">
      <c r="C37" t="s">
        <v>35</v>
      </c>
      <c r="D37">
        <f t="shared" si="10"/>
        <v>2.3100000000000005</v>
      </c>
      <c r="E37">
        <f t="shared" si="23"/>
        <v>79.750000000000028</v>
      </c>
      <c r="F37">
        <v>0</v>
      </c>
      <c r="G37">
        <f t="shared" si="24"/>
        <v>0</v>
      </c>
      <c r="H37">
        <f t="shared" si="11"/>
        <v>2.3100000000000005</v>
      </c>
      <c r="I37" s="1">
        <f t="shared" si="25"/>
        <v>79.750000000000028</v>
      </c>
      <c r="J37">
        <f t="shared" si="12"/>
        <v>0</v>
      </c>
      <c r="K37">
        <f t="shared" si="35"/>
        <v>0</v>
      </c>
      <c r="L37">
        <f t="shared" si="13"/>
        <v>2.5</v>
      </c>
      <c r="M37">
        <f t="shared" si="26"/>
        <v>22.5</v>
      </c>
      <c r="N37">
        <f t="shared" si="14"/>
        <v>0</v>
      </c>
      <c r="O37">
        <f t="shared" si="27"/>
        <v>0</v>
      </c>
      <c r="P37">
        <f t="shared" si="15"/>
        <v>0</v>
      </c>
      <c r="Q37">
        <f t="shared" si="28"/>
        <v>0</v>
      </c>
      <c r="R37">
        <v>0</v>
      </c>
      <c r="S37">
        <f t="shared" si="16"/>
        <v>0</v>
      </c>
      <c r="T37" s="21">
        <v>0</v>
      </c>
      <c r="U37">
        <f t="shared" si="17"/>
        <v>2.5</v>
      </c>
      <c r="V37" s="1">
        <f t="shared" si="29"/>
        <v>22.5</v>
      </c>
      <c r="W37">
        <f t="shared" si="18"/>
        <v>-0.1899999999999995</v>
      </c>
      <c r="X37">
        <f t="shared" si="30"/>
        <v>57.250000000000014</v>
      </c>
      <c r="Y37">
        <f t="shared" si="19"/>
        <v>18.310000000000002</v>
      </c>
      <c r="Z37">
        <f t="shared" si="19"/>
        <v>75.750000000000014</v>
      </c>
      <c r="AA37" s="1">
        <f t="shared" si="20"/>
        <v>74</v>
      </c>
      <c r="AB37" s="1">
        <f t="shared" si="21"/>
        <v>47</v>
      </c>
      <c r="AC37">
        <f t="shared" si="5"/>
        <v>-0.1899999999999995</v>
      </c>
      <c r="AD37" s="21">
        <f t="shared" si="6"/>
        <v>0</v>
      </c>
      <c r="AE37" s="26">
        <f t="shared" si="31"/>
        <v>5.7500000000000018</v>
      </c>
      <c r="AF37">
        <f t="shared" si="7"/>
        <v>-0.1899999999999995</v>
      </c>
      <c r="AG37" s="21">
        <f t="shared" si="22"/>
        <v>0</v>
      </c>
      <c r="AH37" s="1">
        <f t="shared" si="32"/>
        <v>30.230000000000011</v>
      </c>
      <c r="AI37">
        <f t="shared" si="8"/>
        <v>-0.1899999999999995</v>
      </c>
      <c r="AJ37" s="1">
        <f t="shared" si="33"/>
        <v>51.500000000000014</v>
      </c>
      <c r="AK37">
        <f t="shared" si="9"/>
        <v>-0.1899999999999995</v>
      </c>
      <c r="AL37" s="1">
        <f t="shared" si="34"/>
        <v>27.020000000000003</v>
      </c>
    </row>
    <row r="38" spans="3:38" x14ac:dyDescent="0.2">
      <c r="C38" t="s">
        <v>36</v>
      </c>
      <c r="D38">
        <f t="shared" si="10"/>
        <v>1.4600000000000004</v>
      </c>
      <c r="E38">
        <f t="shared" si="23"/>
        <v>81.210000000000022</v>
      </c>
      <c r="F38">
        <v>0</v>
      </c>
      <c r="G38">
        <f t="shared" si="24"/>
        <v>0</v>
      </c>
      <c r="H38">
        <f t="shared" si="11"/>
        <v>1.4600000000000004</v>
      </c>
      <c r="I38" s="1">
        <f t="shared" si="25"/>
        <v>81.210000000000022</v>
      </c>
      <c r="J38">
        <f t="shared" si="12"/>
        <v>0</v>
      </c>
      <c r="K38">
        <f t="shared" si="35"/>
        <v>0</v>
      </c>
      <c r="L38">
        <f t="shared" si="13"/>
        <v>2.5</v>
      </c>
      <c r="M38">
        <f t="shared" si="26"/>
        <v>25</v>
      </c>
      <c r="N38">
        <f t="shared" si="14"/>
        <v>0</v>
      </c>
      <c r="O38">
        <f t="shared" si="27"/>
        <v>0</v>
      </c>
      <c r="P38">
        <f t="shared" si="15"/>
        <v>0</v>
      </c>
      <c r="Q38">
        <f t="shared" si="28"/>
        <v>0</v>
      </c>
      <c r="R38">
        <v>0</v>
      </c>
      <c r="S38">
        <f t="shared" si="16"/>
        <v>0</v>
      </c>
      <c r="T38" s="21">
        <v>0</v>
      </c>
      <c r="U38">
        <f t="shared" si="17"/>
        <v>2.5</v>
      </c>
      <c r="V38" s="1">
        <f t="shared" si="29"/>
        <v>25</v>
      </c>
      <c r="W38">
        <f t="shared" si="18"/>
        <v>-1.0399999999999996</v>
      </c>
      <c r="X38">
        <f t="shared" si="30"/>
        <v>56.210000000000015</v>
      </c>
      <c r="Y38">
        <f t="shared" si="19"/>
        <v>17.46</v>
      </c>
      <c r="Z38">
        <f t="shared" si="19"/>
        <v>74.710000000000008</v>
      </c>
      <c r="AA38" s="1">
        <f t="shared" si="20"/>
        <v>74</v>
      </c>
      <c r="AB38" s="1">
        <f t="shared" si="21"/>
        <v>47</v>
      </c>
      <c r="AC38">
        <f t="shared" si="5"/>
        <v>-1.0399999999999996</v>
      </c>
      <c r="AD38" s="21">
        <f t="shared" si="6"/>
        <v>0</v>
      </c>
      <c r="AE38" s="26">
        <f t="shared" si="31"/>
        <v>5.7500000000000018</v>
      </c>
      <c r="AF38">
        <f t="shared" si="7"/>
        <v>-1.0399999999999996</v>
      </c>
      <c r="AG38" s="21">
        <f t="shared" si="22"/>
        <v>0</v>
      </c>
      <c r="AH38" s="1">
        <f t="shared" si="32"/>
        <v>30.230000000000011</v>
      </c>
      <c r="AI38">
        <f t="shared" si="8"/>
        <v>-1.0399999999999996</v>
      </c>
      <c r="AJ38" s="1">
        <f t="shared" si="33"/>
        <v>50.460000000000015</v>
      </c>
      <c r="AK38">
        <f t="shared" si="9"/>
        <v>-1.0399999999999996</v>
      </c>
      <c r="AL38" s="1">
        <f t="shared" si="34"/>
        <v>25.980000000000004</v>
      </c>
    </row>
    <row r="39" spans="3:38" x14ac:dyDescent="0.2">
      <c r="C39" t="s">
        <v>37</v>
      </c>
      <c r="D39">
        <f t="shared" si="10"/>
        <v>1.1000000000000003</v>
      </c>
      <c r="E39">
        <f t="shared" si="23"/>
        <v>82.310000000000016</v>
      </c>
      <c r="F39">
        <v>0</v>
      </c>
      <c r="G39">
        <f t="shared" si="24"/>
        <v>0</v>
      </c>
      <c r="H39">
        <f t="shared" si="11"/>
        <v>1.1000000000000003</v>
      </c>
      <c r="I39" s="1">
        <f t="shared" si="25"/>
        <v>82.310000000000016</v>
      </c>
      <c r="J39">
        <f t="shared" si="12"/>
        <v>0</v>
      </c>
      <c r="K39">
        <f t="shared" si="35"/>
        <v>0</v>
      </c>
      <c r="L39">
        <f t="shared" si="13"/>
        <v>2.5</v>
      </c>
      <c r="M39">
        <f t="shared" si="26"/>
        <v>27.5</v>
      </c>
      <c r="N39">
        <f t="shared" si="14"/>
        <v>0</v>
      </c>
      <c r="O39">
        <f t="shared" si="27"/>
        <v>0</v>
      </c>
      <c r="P39">
        <f t="shared" si="15"/>
        <v>0</v>
      </c>
      <c r="Q39">
        <f t="shared" si="28"/>
        <v>0</v>
      </c>
      <c r="R39">
        <v>0</v>
      </c>
      <c r="S39">
        <f t="shared" si="16"/>
        <v>0</v>
      </c>
      <c r="T39" s="21">
        <v>0</v>
      </c>
      <c r="U39">
        <f t="shared" si="17"/>
        <v>2.5</v>
      </c>
      <c r="V39" s="1">
        <f t="shared" si="29"/>
        <v>27.5</v>
      </c>
      <c r="W39">
        <f t="shared" si="18"/>
        <v>-1.3999999999999997</v>
      </c>
      <c r="X39">
        <f t="shared" si="30"/>
        <v>54.810000000000016</v>
      </c>
      <c r="Y39">
        <f t="shared" si="19"/>
        <v>17.100000000000001</v>
      </c>
      <c r="Z39">
        <f t="shared" si="19"/>
        <v>73.310000000000016</v>
      </c>
      <c r="AA39" s="1">
        <f t="shared" si="20"/>
        <v>73.310000000000016</v>
      </c>
      <c r="AB39" s="1">
        <f t="shared" si="21"/>
        <v>47</v>
      </c>
      <c r="AC39">
        <f t="shared" si="5"/>
        <v>0</v>
      </c>
      <c r="AD39" s="21">
        <f t="shared" si="6"/>
        <v>0</v>
      </c>
      <c r="AE39" s="26">
        <f t="shared" si="31"/>
        <v>5.7500000000000018</v>
      </c>
      <c r="AF39">
        <f t="shared" si="7"/>
        <v>-1.3999999999999997</v>
      </c>
      <c r="AG39" s="21">
        <f t="shared" si="22"/>
        <v>0</v>
      </c>
      <c r="AH39" s="1">
        <f t="shared" si="32"/>
        <v>30.230000000000011</v>
      </c>
      <c r="AI39">
        <f t="shared" si="8"/>
        <v>-1.3999999999999997</v>
      </c>
      <c r="AJ39" s="1">
        <f t="shared" si="33"/>
        <v>49.060000000000016</v>
      </c>
      <c r="AK39">
        <f t="shared" si="9"/>
        <v>-1.3999999999999997</v>
      </c>
      <c r="AL39" s="1">
        <f t="shared" si="34"/>
        <v>24.580000000000005</v>
      </c>
    </row>
    <row r="40" spans="3:38" x14ac:dyDescent="0.2">
      <c r="C40" t="s">
        <v>38</v>
      </c>
      <c r="D40">
        <f t="shared" si="10"/>
        <v>1.3500000000000003</v>
      </c>
      <c r="E40">
        <f t="shared" si="23"/>
        <v>83.660000000000011</v>
      </c>
      <c r="F40">
        <v>0</v>
      </c>
      <c r="G40">
        <f t="shared" si="24"/>
        <v>0</v>
      </c>
      <c r="H40">
        <f t="shared" si="11"/>
        <v>1.3500000000000003</v>
      </c>
      <c r="I40" s="1">
        <f t="shared" si="25"/>
        <v>83.660000000000011</v>
      </c>
      <c r="J40">
        <f t="shared" si="12"/>
        <v>0</v>
      </c>
      <c r="K40">
        <f t="shared" si="35"/>
        <v>0</v>
      </c>
      <c r="L40">
        <f t="shared" si="13"/>
        <v>2.5</v>
      </c>
      <c r="M40">
        <f t="shared" si="26"/>
        <v>30</v>
      </c>
      <c r="N40">
        <f t="shared" si="14"/>
        <v>0</v>
      </c>
      <c r="O40">
        <f t="shared" si="27"/>
        <v>0</v>
      </c>
      <c r="P40">
        <f t="shared" si="15"/>
        <v>0</v>
      </c>
      <c r="Q40">
        <f t="shared" si="28"/>
        <v>0</v>
      </c>
      <c r="R40">
        <v>0</v>
      </c>
      <c r="S40">
        <f t="shared" si="16"/>
        <v>0</v>
      </c>
      <c r="T40" s="21">
        <v>0</v>
      </c>
      <c r="U40">
        <f t="shared" si="17"/>
        <v>2.5</v>
      </c>
      <c r="V40" s="1">
        <f t="shared" si="29"/>
        <v>30</v>
      </c>
      <c r="W40">
        <f t="shared" si="18"/>
        <v>-1.1499999999999997</v>
      </c>
      <c r="X40">
        <f t="shared" si="30"/>
        <v>53.660000000000018</v>
      </c>
      <c r="Y40">
        <f t="shared" si="19"/>
        <v>17.350000000000001</v>
      </c>
      <c r="Z40">
        <f t="shared" si="19"/>
        <v>72.160000000000025</v>
      </c>
      <c r="AA40" s="1">
        <f t="shared" si="20"/>
        <v>72.160000000000025</v>
      </c>
      <c r="AB40" s="1">
        <f t="shared" si="21"/>
        <v>47</v>
      </c>
      <c r="AC40">
        <f t="shared" si="5"/>
        <v>0</v>
      </c>
      <c r="AD40" s="21">
        <f t="shared" si="6"/>
        <v>0</v>
      </c>
      <c r="AE40" s="27">
        <f t="shared" si="31"/>
        <v>5.7500000000000018</v>
      </c>
      <c r="AF40">
        <f t="shared" si="7"/>
        <v>-1.1499999999999997</v>
      </c>
      <c r="AG40" s="21">
        <f t="shared" si="22"/>
        <v>0</v>
      </c>
      <c r="AH40" s="12">
        <f t="shared" si="32"/>
        <v>30.230000000000011</v>
      </c>
      <c r="AI40">
        <f t="shared" si="8"/>
        <v>-1.1499999999999997</v>
      </c>
      <c r="AJ40" s="11">
        <f t="shared" si="33"/>
        <v>47.910000000000018</v>
      </c>
      <c r="AK40">
        <f t="shared" si="9"/>
        <v>-1.1499999999999997</v>
      </c>
      <c r="AL40" s="12">
        <f t="shared" si="34"/>
        <v>23.430000000000007</v>
      </c>
    </row>
    <row r="41" spans="3:38" x14ac:dyDescent="0.2">
      <c r="T41" s="21">
        <v>0</v>
      </c>
      <c r="W41">
        <f>SUM(W29:W40)</f>
        <v>53.660000000000018</v>
      </c>
      <c r="Y41">
        <f t="shared" si="19"/>
        <v>72.160000000000025</v>
      </c>
      <c r="AD41">
        <v>5.75</v>
      </c>
      <c r="AG41">
        <f>SUM(AG29:AG40)</f>
        <v>30.230000000000011</v>
      </c>
      <c r="AI41">
        <f>SUM(AI29:AI40)</f>
        <v>47.910000000000018</v>
      </c>
      <c r="AK41">
        <f>SUM(AK29:AK40)</f>
        <v>23.430000000000007</v>
      </c>
    </row>
    <row r="45" spans="3:38" x14ac:dyDescent="0.2">
      <c r="E45" s="3" t="s">
        <v>68</v>
      </c>
      <c r="F45" s="3" t="s">
        <v>69</v>
      </c>
      <c r="G45" s="3" t="s">
        <v>70</v>
      </c>
      <c r="H45" s="3" t="s">
        <v>71</v>
      </c>
      <c r="I45" s="3" t="s">
        <v>72</v>
      </c>
      <c r="J45" s="4" t="s">
        <v>60</v>
      </c>
      <c r="K45" s="4" t="s">
        <v>22</v>
      </c>
    </row>
    <row r="46" spans="3:38" x14ac:dyDescent="0.2">
      <c r="D46" t="s">
        <v>18</v>
      </c>
      <c r="E46">
        <f>I29</f>
        <v>2.0800000000000005</v>
      </c>
      <c r="F46">
        <f xml:space="preserve"> V29</f>
        <v>2.5</v>
      </c>
      <c r="G46">
        <f>Z29</f>
        <v>18.080000000000002</v>
      </c>
      <c r="H46">
        <f>AE29</f>
        <v>0</v>
      </c>
      <c r="I46">
        <f>AJ29</f>
        <v>-0.41999999999999948</v>
      </c>
      <c r="J46">
        <f>$O$7</f>
        <v>74</v>
      </c>
      <c r="K46">
        <f>$O$9</f>
        <v>18.5</v>
      </c>
    </row>
    <row r="47" spans="3:38" x14ac:dyDescent="0.2">
      <c r="D47" t="s">
        <v>20</v>
      </c>
      <c r="E47">
        <f t="shared" ref="E47:E57" si="36">I30</f>
        <v>9.9400000000000013</v>
      </c>
      <c r="F47">
        <f t="shared" ref="F47:F57" si="37" xml:space="preserve"> V30</f>
        <v>5</v>
      </c>
      <c r="G47">
        <f t="shared" ref="G46:G57" si="38">Z30</f>
        <v>23.44</v>
      </c>
      <c r="H47">
        <f t="shared" ref="H47:H57" si="39">AE30</f>
        <v>0</v>
      </c>
      <c r="I47">
        <f t="shared" ref="I47:I57" si="40">AJ30</f>
        <v>4.9400000000000013</v>
      </c>
      <c r="J47">
        <f t="shared" ref="J47:J57" si="41">$O$7</f>
        <v>74</v>
      </c>
      <c r="K47">
        <f t="shared" ref="K47:K57" si="42">$O$9</f>
        <v>18.5</v>
      </c>
    </row>
    <row r="48" spans="3:38" x14ac:dyDescent="0.2">
      <c r="D48" t="s">
        <v>23</v>
      </c>
      <c r="E48">
        <f t="shared" si="36"/>
        <v>22.89</v>
      </c>
      <c r="F48">
        <f t="shared" si="37"/>
        <v>7.5</v>
      </c>
      <c r="G48">
        <f t="shared" si="38"/>
        <v>33.89</v>
      </c>
      <c r="H48">
        <f t="shared" si="39"/>
        <v>0</v>
      </c>
      <c r="I48">
        <f t="shared" si="40"/>
        <v>15.390000000000002</v>
      </c>
      <c r="J48">
        <f t="shared" si="41"/>
        <v>74</v>
      </c>
      <c r="K48">
        <f t="shared" si="42"/>
        <v>18.5</v>
      </c>
    </row>
    <row r="49" spans="4:15" x14ac:dyDescent="0.2">
      <c r="D49" t="s">
        <v>25</v>
      </c>
      <c r="E49">
        <f t="shared" si="36"/>
        <v>37.21</v>
      </c>
      <c r="F49">
        <f t="shared" si="37"/>
        <v>10</v>
      </c>
      <c r="G49">
        <f t="shared" si="38"/>
        <v>45.710000000000008</v>
      </c>
      <c r="H49">
        <f t="shared" si="39"/>
        <v>0</v>
      </c>
      <c r="I49">
        <f t="shared" si="40"/>
        <v>27.210000000000004</v>
      </c>
      <c r="J49">
        <f t="shared" si="41"/>
        <v>74</v>
      </c>
      <c r="K49">
        <f t="shared" si="42"/>
        <v>18.5</v>
      </c>
      <c r="M49" s="8" t="s">
        <v>61</v>
      </c>
      <c r="N49" s="8" t="s">
        <v>62</v>
      </c>
      <c r="O49" s="8" t="s">
        <v>19</v>
      </c>
    </row>
    <row r="50" spans="4:15" x14ac:dyDescent="0.2">
      <c r="D50" t="s">
        <v>27</v>
      </c>
      <c r="E50">
        <f t="shared" si="36"/>
        <v>51.370000000000005</v>
      </c>
      <c r="F50">
        <f t="shared" si="37"/>
        <v>12.5</v>
      </c>
      <c r="G50">
        <f t="shared" si="38"/>
        <v>57.370000000000005</v>
      </c>
      <c r="H50">
        <f t="shared" si="39"/>
        <v>0</v>
      </c>
      <c r="I50">
        <f t="shared" si="40"/>
        <v>38.870000000000005</v>
      </c>
      <c r="J50">
        <f t="shared" si="41"/>
        <v>74</v>
      </c>
      <c r="K50">
        <f t="shared" si="42"/>
        <v>18.5</v>
      </c>
      <c r="M50" s="8"/>
      <c r="N50" s="8"/>
      <c r="O50" s="8"/>
    </row>
    <row r="51" spans="4:15" x14ac:dyDescent="0.2">
      <c r="D51" t="s">
        <v>29</v>
      </c>
      <c r="E51">
        <f t="shared" si="36"/>
        <v>66.690000000000012</v>
      </c>
      <c r="F51">
        <f t="shared" si="37"/>
        <v>15</v>
      </c>
      <c r="G51">
        <f t="shared" si="38"/>
        <v>70.190000000000012</v>
      </c>
      <c r="H51">
        <f t="shared" si="39"/>
        <v>0</v>
      </c>
      <c r="I51">
        <f t="shared" si="40"/>
        <v>51.690000000000012</v>
      </c>
      <c r="J51">
        <f t="shared" si="41"/>
        <v>74</v>
      </c>
      <c r="K51">
        <f t="shared" si="42"/>
        <v>18.5</v>
      </c>
    </row>
    <row r="52" spans="4:15" x14ac:dyDescent="0.2">
      <c r="D52" t="s">
        <v>31</v>
      </c>
      <c r="E52">
        <f t="shared" si="36"/>
        <v>73.54000000000002</v>
      </c>
      <c r="F52">
        <f t="shared" si="37"/>
        <v>17.5</v>
      </c>
      <c r="G52">
        <f t="shared" si="38"/>
        <v>74.54000000000002</v>
      </c>
      <c r="H52">
        <f t="shared" si="39"/>
        <v>4.3500000000000014</v>
      </c>
      <c r="I52">
        <f t="shared" si="40"/>
        <v>51.690000000000012</v>
      </c>
      <c r="J52">
        <f t="shared" si="41"/>
        <v>74</v>
      </c>
      <c r="K52">
        <f t="shared" si="42"/>
        <v>18.5</v>
      </c>
    </row>
    <row r="53" spans="4:15" x14ac:dyDescent="0.2">
      <c r="D53" t="s">
        <v>33</v>
      </c>
      <c r="E53">
        <f t="shared" si="36"/>
        <v>77.440000000000026</v>
      </c>
      <c r="F53">
        <f t="shared" si="37"/>
        <v>20</v>
      </c>
      <c r="G53">
        <f t="shared" si="38"/>
        <v>75.940000000000012</v>
      </c>
      <c r="H53">
        <f t="shared" si="39"/>
        <v>5.7500000000000018</v>
      </c>
      <c r="I53">
        <f t="shared" si="40"/>
        <v>51.690000000000012</v>
      </c>
      <c r="J53">
        <f t="shared" si="41"/>
        <v>74</v>
      </c>
      <c r="K53">
        <f t="shared" si="42"/>
        <v>18.5</v>
      </c>
    </row>
    <row r="54" spans="4:15" x14ac:dyDescent="0.2">
      <c r="D54" t="s">
        <v>35</v>
      </c>
      <c r="E54">
        <f t="shared" si="36"/>
        <v>79.750000000000028</v>
      </c>
      <c r="F54">
        <f t="shared" si="37"/>
        <v>22.5</v>
      </c>
      <c r="G54">
        <f t="shared" si="38"/>
        <v>75.750000000000014</v>
      </c>
      <c r="H54">
        <f t="shared" si="39"/>
        <v>5.7500000000000018</v>
      </c>
      <c r="I54">
        <f t="shared" si="40"/>
        <v>51.500000000000014</v>
      </c>
      <c r="J54">
        <f t="shared" si="41"/>
        <v>74</v>
      </c>
      <c r="K54">
        <f t="shared" si="42"/>
        <v>18.5</v>
      </c>
    </row>
    <row r="55" spans="4:15" x14ac:dyDescent="0.2">
      <c r="D55" t="s">
        <v>36</v>
      </c>
      <c r="E55">
        <f t="shared" si="36"/>
        <v>81.210000000000022</v>
      </c>
      <c r="F55">
        <f t="shared" si="37"/>
        <v>25</v>
      </c>
      <c r="G55">
        <f t="shared" si="38"/>
        <v>74.710000000000008</v>
      </c>
      <c r="H55">
        <f t="shared" si="39"/>
        <v>5.7500000000000018</v>
      </c>
      <c r="I55">
        <f t="shared" si="40"/>
        <v>50.460000000000015</v>
      </c>
      <c r="J55">
        <f t="shared" si="41"/>
        <v>74</v>
      </c>
      <c r="K55">
        <f t="shared" si="42"/>
        <v>18.5</v>
      </c>
    </row>
    <row r="56" spans="4:15" x14ac:dyDescent="0.2">
      <c r="D56" t="s">
        <v>37</v>
      </c>
      <c r="E56">
        <f t="shared" si="36"/>
        <v>82.310000000000016</v>
      </c>
      <c r="F56">
        <f t="shared" si="37"/>
        <v>27.5</v>
      </c>
      <c r="G56">
        <f t="shared" si="38"/>
        <v>73.310000000000016</v>
      </c>
      <c r="H56">
        <f t="shared" si="39"/>
        <v>5.7500000000000018</v>
      </c>
      <c r="I56">
        <f t="shared" si="40"/>
        <v>49.060000000000016</v>
      </c>
      <c r="J56">
        <f t="shared" si="41"/>
        <v>74</v>
      </c>
      <c r="K56">
        <f t="shared" si="42"/>
        <v>18.5</v>
      </c>
    </row>
    <row r="57" spans="4:15" x14ac:dyDescent="0.2">
      <c r="D57" t="s">
        <v>38</v>
      </c>
      <c r="E57">
        <f t="shared" si="36"/>
        <v>83.660000000000011</v>
      </c>
      <c r="F57">
        <f t="shared" si="37"/>
        <v>30</v>
      </c>
      <c r="G57">
        <f t="shared" si="38"/>
        <v>72.160000000000025</v>
      </c>
      <c r="H57" s="11">
        <f t="shared" si="39"/>
        <v>5.7500000000000018</v>
      </c>
      <c r="I57" s="11">
        <f t="shared" si="40"/>
        <v>47.910000000000018</v>
      </c>
      <c r="J57">
        <f t="shared" si="41"/>
        <v>74</v>
      </c>
      <c r="K57">
        <f t="shared" si="42"/>
        <v>18.5</v>
      </c>
    </row>
    <row r="60" spans="4:15" x14ac:dyDescent="0.2">
      <c r="D60" s="3"/>
      <c r="E60" s="3" t="s">
        <v>68</v>
      </c>
      <c r="F60" s="3" t="s">
        <v>69</v>
      </c>
      <c r="G60" s="3" t="s">
        <v>73</v>
      </c>
      <c r="H60" s="3" t="s">
        <v>74</v>
      </c>
      <c r="I60" s="3" t="s">
        <v>75</v>
      </c>
      <c r="J60" s="4" t="s">
        <v>60</v>
      </c>
      <c r="K60" s="4" t="s">
        <v>22</v>
      </c>
    </row>
    <row r="61" spans="4:15" x14ac:dyDescent="0.2">
      <c r="D61" t="s">
        <v>18</v>
      </c>
      <c r="E61">
        <f>E46</f>
        <v>2.0800000000000005</v>
      </c>
      <c r="F61">
        <f>F46</f>
        <v>2.5</v>
      </c>
      <c r="G61">
        <f>AB29</f>
        <v>18.080000000000002</v>
      </c>
      <c r="H61">
        <f>AH29</f>
        <v>0</v>
      </c>
      <c r="I61">
        <f>AL29</f>
        <v>-0.41999999999999948</v>
      </c>
      <c r="J61">
        <f>$O$8</f>
        <v>47</v>
      </c>
      <c r="K61">
        <f>$O$9</f>
        <v>18.5</v>
      </c>
      <c r="M61" s="8" t="s">
        <v>63</v>
      </c>
      <c r="N61" s="8" t="s">
        <v>64</v>
      </c>
      <c r="O61" s="8" t="s">
        <v>65</v>
      </c>
    </row>
    <row r="62" spans="4:15" x14ac:dyDescent="0.2">
      <c r="D62" t="s">
        <v>20</v>
      </c>
      <c r="E62">
        <f t="shared" ref="E62:F72" si="43">E47</f>
        <v>9.9400000000000013</v>
      </c>
      <c r="F62">
        <f t="shared" si="43"/>
        <v>5</v>
      </c>
      <c r="G62">
        <f t="shared" ref="G62:G72" si="44">AB30</f>
        <v>23.44</v>
      </c>
      <c r="H62">
        <f t="shared" ref="H62:H72" si="45">AH30</f>
        <v>0</v>
      </c>
      <c r="I62">
        <f t="shared" ref="I62:I72" si="46">AL30</f>
        <v>4.9400000000000013</v>
      </c>
      <c r="J62">
        <f t="shared" ref="J62:J72" si="47">$O$8</f>
        <v>47</v>
      </c>
      <c r="K62">
        <f t="shared" ref="K62:K72" si="48">$O$9</f>
        <v>18.5</v>
      </c>
    </row>
    <row r="63" spans="4:15" x14ac:dyDescent="0.2">
      <c r="D63" t="s">
        <v>23</v>
      </c>
      <c r="E63">
        <f t="shared" si="43"/>
        <v>22.89</v>
      </c>
      <c r="F63">
        <f t="shared" si="43"/>
        <v>7.5</v>
      </c>
      <c r="G63">
        <f t="shared" si="44"/>
        <v>33.89</v>
      </c>
      <c r="H63">
        <f t="shared" si="45"/>
        <v>0</v>
      </c>
      <c r="I63">
        <f t="shared" si="46"/>
        <v>15.390000000000002</v>
      </c>
      <c r="J63">
        <f t="shared" si="47"/>
        <v>47</v>
      </c>
      <c r="K63">
        <f t="shared" si="48"/>
        <v>18.5</v>
      </c>
    </row>
    <row r="64" spans="4:15" x14ac:dyDescent="0.2">
      <c r="D64" t="s">
        <v>25</v>
      </c>
      <c r="E64">
        <f t="shared" si="43"/>
        <v>37.21</v>
      </c>
      <c r="F64">
        <f t="shared" si="43"/>
        <v>10</v>
      </c>
      <c r="G64">
        <f t="shared" si="44"/>
        <v>45.710000000000008</v>
      </c>
      <c r="H64">
        <f t="shared" si="45"/>
        <v>0</v>
      </c>
      <c r="I64">
        <f t="shared" si="46"/>
        <v>27.210000000000004</v>
      </c>
      <c r="J64">
        <f t="shared" si="47"/>
        <v>47</v>
      </c>
      <c r="K64">
        <f t="shared" si="48"/>
        <v>18.5</v>
      </c>
    </row>
    <row r="65" spans="2:16" x14ac:dyDescent="0.2">
      <c r="D65" t="s">
        <v>27</v>
      </c>
      <c r="E65">
        <f t="shared" si="43"/>
        <v>51.370000000000005</v>
      </c>
      <c r="F65">
        <f t="shared" si="43"/>
        <v>12.5</v>
      </c>
      <c r="G65">
        <f t="shared" si="44"/>
        <v>47</v>
      </c>
      <c r="H65">
        <f t="shared" si="45"/>
        <v>11.660000000000004</v>
      </c>
      <c r="I65">
        <f t="shared" si="46"/>
        <v>27.210000000000004</v>
      </c>
      <c r="J65">
        <f t="shared" si="47"/>
        <v>47</v>
      </c>
      <c r="K65">
        <f t="shared" si="48"/>
        <v>18.5</v>
      </c>
    </row>
    <row r="66" spans="2:16" x14ac:dyDescent="0.2">
      <c r="D66" t="s">
        <v>29</v>
      </c>
      <c r="E66">
        <f t="shared" si="43"/>
        <v>66.690000000000012</v>
      </c>
      <c r="F66">
        <f t="shared" si="43"/>
        <v>15</v>
      </c>
      <c r="G66">
        <f t="shared" si="44"/>
        <v>47</v>
      </c>
      <c r="H66">
        <f t="shared" si="45"/>
        <v>24.480000000000008</v>
      </c>
      <c r="I66">
        <f t="shared" si="46"/>
        <v>27.210000000000004</v>
      </c>
      <c r="J66">
        <f t="shared" si="47"/>
        <v>47</v>
      </c>
      <c r="K66">
        <f t="shared" si="48"/>
        <v>18.5</v>
      </c>
    </row>
    <row r="67" spans="2:16" x14ac:dyDescent="0.2">
      <c r="D67" t="s">
        <v>31</v>
      </c>
      <c r="E67">
        <f t="shared" si="43"/>
        <v>73.54000000000002</v>
      </c>
      <c r="F67">
        <f t="shared" si="43"/>
        <v>17.5</v>
      </c>
      <c r="G67">
        <f t="shared" si="44"/>
        <v>47</v>
      </c>
      <c r="H67">
        <f t="shared" si="45"/>
        <v>28.830000000000009</v>
      </c>
      <c r="I67">
        <f t="shared" si="46"/>
        <v>27.210000000000004</v>
      </c>
      <c r="J67">
        <f t="shared" si="47"/>
        <v>47</v>
      </c>
      <c r="K67">
        <f t="shared" si="48"/>
        <v>18.5</v>
      </c>
    </row>
    <row r="68" spans="2:16" x14ac:dyDescent="0.2">
      <c r="D68" t="s">
        <v>33</v>
      </c>
      <c r="E68">
        <f t="shared" si="43"/>
        <v>77.440000000000026</v>
      </c>
      <c r="F68">
        <f t="shared" si="43"/>
        <v>20</v>
      </c>
      <c r="G68">
        <f t="shared" si="44"/>
        <v>47</v>
      </c>
      <c r="H68">
        <f t="shared" si="45"/>
        <v>30.230000000000011</v>
      </c>
      <c r="I68">
        <f t="shared" si="46"/>
        <v>27.210000000000004</v>
      </c>
      <c r="J68">
        <f t="shared" si="47"/>
        <v>47</v>
      </c>
      <c r="K68">
        <f t="shared" si="48"/>
        <v>18.5</v>
      </c>
    </row>
    <row r="69" spans="2:16" x14ac:dyDescent="0.2">
      <c r="D69" t="s">
        <v>35</v>
      </c>
      <c r="E69">
        <f t="shared" si="43"/>
        <v>79.750000000000028</v>
      </c>
      <c r="F69">
        <f t="shared" si="43"/>
        <v>22.5</v>
      </c>
      <c r="G69">
        <f t="shared" si="44"/>
        <v>47</v>
      </c>
      <c r="H69">
        <f t="shared" si="45"/>
        <v>30.230000000000011</v>
      </c>
      <c r="I69">
        <f t="shared" si="46"/>
        <v>27.020000000000003</v>
      </c>
      <c r="J69">
        <f t="shared" si="47"/>
        <v>47</v>
      </c>
      <c r="K69">
        <f t="shared" si="48"/>
        <v>18.5</v>
      </c>
    </row>
    <row r="70" spans="2:16" x14ac:dyDescent="0.2">
      <c r="D70" t="s">
        <v>36</v>
      </c>
      <c r="E70">
        <f t="shared" si="43"/>
        <v>81.210000000000022</v>
      </c>
      <c r="F70">
        <f t="shared" si="43"/>
        <v>25</v>
      </c>
      <c r="G70">
        <f t="shared" si="44"/>
        <v>47</v>
      </c>
      <c r="H70">
        <f t="shared" si="45"/>
        <v>30.230000000000011</v>
      </c>
      <c r="I70">
        <f t="shared" si="46"/>
        <v>25.980000000000004</v>
      </c>
      <c r="J70">
        <f t="shared" si="47"/>
        <v>47</v>
      </c>
      <c r="K70">
        <f t="shared" si="48"/>
        <v>18.5</v>
      </c>
    </row>
    <row r="71" spans="2:16" x14ac:dyDescent="0.2">
      <c r="D71" t="s">
        <v>37</v>
      </c>
      <c r="E71">
        <f t="shared" si="43"/>
        <v>82.310000000000016</v>
      </c>
      <c r="F71">
        <f t="shared" si="43"/>
        <v>27.5</v>
      </c>
      <c r="G71">
        <f t="shared" si="44"/>
        <v>47</v>
      </c>
      <c r="H71">
        <f t="shared" si="45"/>
        <v>30.230000000000011</v>
      </c>
      <c r="I71">
        <f t="shared" si="46"/>
        <v>24.580000000000005</v>
      </c>
      <c r="J71">
        <f t="shared" si="47"/>
        <v>47</v>
      </c>
      <c r="K71">
        <f t="shared" si="48"/>
        <v>18.5</v>
      </c>
    </row>
    <row r="72" spans="2:16" x14ac:dyDescent="0.2">
      <c r="D72" t="s">
        <v>38</v>
      </c>
      <c r="E72">
        <f t="shared" si="43"/>
        <v>83.660000000000011</v>
      </c>
      <c r="F72">
        <f t="shared" si="43"/>
        <v>30</v>
      </c>
      <c r="G72">
        <f t="shared" si="44"/>
        <v>47</v>
      </c>
      <c r="H72" s="12">
        <f t="shared" si="45"/>
        <v>30.230000000000011</v>
      </c>
      <c r="I72" s="12">
        <f t="shared" si="46"/>
        <v>23.430000000000007</v>
      </c>
      <c r="J72">
        <f t="shared" si="47"/>
        <v>47</v>
      </c>
      <c r="K72">
        <f t="shared" si="48"/>
        <v>18.5</v>
      </c>
    </row>
    <row r="76" spans="2:16" x14ac:dyDescent="0.2">
      <c r="I76" s="6" t="s">
        <v>0</v>
      </c>
      <c r="J76" s="6" t="s">
        <v>1</v>
      </c>
    </row>
    <row r="80" spans="2:16" x14ac:dyDescent="0.2">
      <c r="B80" s="7"/>
      <c r="C80" s="7" t="s">
        <v>6</v>
      </c>
      <c r="D80" s="7" t="s">
        <v>7</v>
      </c>
      <c r="E80" s="7" t="s">
        <v>8</v>
      </c>
      <c r="F80" s="7" t="s">
        <v>9</v>
      </c>
      <c r="G80" s="7" t="s">
        <v>10</v>
      </c>
      <c r="H80" s="7" t="s">
        <v>11</v>
      </c>
      <c r="I80" s="7" t="s">
        <v>12</v>
      </c>
      <c r="J80" s="7" t="s">
        <v>13</v>
      </c>
      <c r="K80" s="7" t="s">
        <v>14</v>
      </c>
      <c r="L80" s="7" t="s">
        <v>15</v>
      </c>
      <c r="N80" t="s">
        <v>16</v>
      </c>
      <c r="P80" t="s">
        <v>17</v>
      </c>
    </row>
    <row r="81" spans="3:16" x14ac:dyDescent="0.2">
      <c r="N81" t="s">
        <v>19</v>
      </c>
      <c r="O81">
        <v>74</v>
      </c>
      <c r="P81" t="s">
        <v>4</v>
      </c>
    </row>
    <row r="82" spans="3:16" x14ac:dyDescent="0.2">
      <c r="N82" t="s">
        <v>21</v>
      </c>
      <c r="O82">
        <v>47</v>
      </c>
      <c r="P82" t="s">
        <v>4</v>
      </c>
    </row>
    <row r="83" spans="3:16" x14ac:dyDescent="0.2">
      <c r="N83" t="s">
        <v>22</v>
      </c>
      <c r="O83">
        <f>0.25*O81</f>
        <v>18.5</v>
      </c>
      <c r="P83" t="s">
        <v>4</v>
      </c>
    </row>
    <row r="84" spans="3:16" x14ac:dyDescent="0.2">
      <c r="C84" t="s">
        <v>18</v>
      </c>
      <c r="D84">
        <f>D10</f>
        <v>2.4862538847716956E-2</v>
      </c>
      <c r="E84">
        <v>0</v>
      </c>
      <c r="F84">
        <v>0</v>
      </c>
      <c r="G84">
        <v>0</v>
      </c>
      <c r="I84">
        <f>1/12</f>
        <v>8.3333333333333329E-2</v>
      </c>
      <c r="J84">
        <v>0</v>
      </c>
      <c r="K84">
        <f>1/12</f>
        <v>8.3333333333333329E-2</v>
      </c>
      <c r="N84" t="s">
        <v>24</v>
      </c>
      <c r="O84">
        <v>83.66</v>
      </c>
    </row>
    <row r="85" spans="3:16" x14ac:dyDescent="0.2">
      <c r="C85" t="s">
        <v>20</v>
      </c>
      <c r="D85">
        <f t="shared" ref="D85:D95" si="49">D11</f>
        <v>9.3951709299545799E-2</v>
      </c>
      <c r="E85">
        <v>0</v>
      </c>
      <c r="F85">
        <v>0</v>
      </c>
      <c r="G85">
        <v>0</v>
      </c>
      <c r="I85">
        <f t="shared" ref="I85:K95" si="50">1/12</f>
        <v>8.3333333333333329E-2</v>
      </c>
      <c r="J85">
        <v>0</v>
      </c>
      <c r="K85">
        <f t="shared" si="50"/>
        <v>8.3333333333333329E-2</v>
      </c>
      <c r="N85" t="s">
        <v>26</v>
      </c>
      <c r="O85">
        <v>0</v>
      </c>
    </row>
    <row r="86" spans="3:16" x14ac:dyDescent="0.2">
      <c r="C86" t="s">
        <v>23</v>
      </c>
      <c r="D86">
        <f t="shared" si="49"/>
        <v>0.15479321061439161</v>
      </c>
      <c r="E86">
        <v>0</v>
      </c>
      <c r="F86">
        <v>0</v>
      </c>
      <c r="G86">
        <v>0</v>
      </c>
      <c r="I86">
        <f t="shared" si="50"/>
        <v>8.3333333333333329E-2</v>
      </c>
      <c r="J86">
        <v>0</v>
      </c>
      <c r="K86">
        <f t="shared" si="50"/>
        <v>8.3333333333333329E-2</v>
      </c>
      <c r="N86" t="s">
        <v>28</v>
      </c>
      <c r="O86">
        <v>0</v>
      </c>
    </row>
    <row r="87" spans="3:16" x14ac:dyDescent="0.2">
      <c r="C87" t="s">
        <v>25</v>
      </c>
      <c r="D87">
        <f t="shared" si="49"/>
        <v>0.1711690174515898</v>
      </c>
      <c r="E87">
        <v>0</v>
      </c>
      <c r="F87">
        <v>0</v>
      </c>
      <c r="G87">
        <v>0</v>
      </c>
      <c r="I87">
        <f t="shared" si="50"/>
        <v>8.3333333333333329E-2</v>
      </c>
      <c r="J87">
        <v>0</v>
      </c>
      <c r="K87">
        <f t="shared" si="50"/>
        <v>8.3333333333333329E-2</v>
      </c>
      <c r="N87" t="s">
        <v>30</v>
      </c>
      <c r="O87">
        <v>30</v>
      </c>
    </row>
    <row r="88" spans="3:16" x14ac:dyDescent="0.2">
      <c r="C88" t="s">
        <v>27</v>
      </c>
      <c r="D88">
        <f t="shared" si="49"/>
        <v>0.16925651446330389</v>
      </c>
      <c r="E88">
        <v>0</v>
      </c>
      <c r="F88">
        <v>0</v>
      </c>
      <c r="G88">
        <v>0</v>
      </c>
      <c r="I88">
        <f t="shared" si="50"/>
        <v>8.3333333333333329E-2</v>
      </c>
      <c r="J88">
        <v>0</v>
      </c>
      <c r="K88">
        <f t="shared" si="50"/>
        <v>8.3333333333333329E-2</v>
      </c>
      <c r="N88" t="s">
        <v>32</v>
      </c>
      <c r="O88">
        <v>0</v>
      </c>
    </row>
    <row r="89" spans="3:16" x14ac:dyDescent="0.2">
      <c r="C89" t="s">
        <v>29</v>
      </c>
      <c r="D89">
        <f t="shared" si="49"/>
        <v>0.18312216112837681</v>
      </c>
      <c r="E89">
        <v>0</v>
      </c>
      <c r="F89">
        <v>0</v>
      </c>
      <c r="G89">
        <v>0</v>
      </c>
      <c r="I89">
        <f t="shared" si="50"/>
        <v>8.3333333333333329E-2</v>
      </c>
      <c r="J89">
        <v>0</v>
      </c>
      <c r="K89">
        <f t="shared" si="50"/>
        <v>8.3333333333333329E-2</v>
      </c>
      <c r="N89" t="s">
        <v>34</v>
      </c>
      <c r="O89">
        <v>0</v>
      </c>
    </row>
    <row r="90" spans="3:16" x14ac:dyDescent="0.2">
      <c r="C90" t="s">
        <v>31</v>
      </c>
      <c r="D90">
        <f t="shared" si="49"/>
        <v>8.1879034185990934E-2</v>
      </c>
      <c r="E90">
        <v>0</v>
      </c>
      <c r="F90">
        <v>0</v>
      </c>
      <c r="G90">
        <v>0</v>
      </c>
      <c r="I90">
        <f t="shared" si="50"/>
        <v>8.3333333333333329E-2</v>
      </c>
      <c r="J90">
        <v>0.05</v>
      </c>
      <c r="K90">
        <f t="shared" si="50"/>
        <v>8.3333333333333329E-2</v>
      </c>
    </row>
    <row r="91" spans="3:16" x14ac:dyDescent="0.2">
      <c r="C91" t="s">
        <v>33</v>
      </c>
      <c r="D91">
        <f t="shared" si="49"/>
        <v>4.6617260339469287E-2</v>
      </c>
      <c r="E91">
        <v>0</v>
      </c>
      <c r="F91">
        <v>0</v>
      </c>
      <c r="G91">
        <v>0</v>
      </c>
      <c r="I91">
        <f t="shared" si="50"/>
        <v>8.3333333333333329E-2</v>
      </c>
      <c r="J91">
        <v>0.14000000000000001</v>
      </c>
      <c r="K91">
        <f t="shared" si="50"/>
        <v>8.3333333333333329E-2</v>
      </c>
    </row>
    <row r="92" spans="3:16" x14ac:dyDescent="0.2">
      <c r="C92" t="s">
        <v>35</v>
      </c>
      <c r="D92">
        <f t="shared" si="49"/>
        <v>2.7611761893377964E-2</v>
      </c>
      <c r="E92">
        <v>0</v>
      </c>
      <c r="F92">
        <v>0</v>
      </c>
      <c r="G92">
        <v>0</v>
      </c>
      <c r="I92">
        <f t="shared" si="50"/>
        <v>8.3333333333333329E-2</v>
      </c>
      <c r="J92">
        <v>0.22</v>
      </c>
      <c r="K92">
        <f t="shared" si="50"/>
        <v>8.3333333333333329E-2</v>
      </c>
    </row>
    <row r="93" spans="3:16" x14ac:dyDescent="0.2">
      <c r="C93" t="s">
        <v>36</v>
      </c>
      <c r="D93">
        <f t="shared" si="49"/>
        <v>1.7451589768109017E-2</v>
      </c>
      <c r="E93">
        <v>0</v>
      </c>
      <c r="F93">
        <v>0</v>
      </c>
      <c r="G93">
        <v>0</v>
      </c>
      <c r="I93">
        <f t="shared" si="50"/>
        <v>8.3333333333333329E-2</v>
      </c>
      <c r="J93">
        <v>0.25</v>
      </c>
      <c r="K93">
        <f t="shared" si="50"/>
        <v>8.3333333333333329E-2</v>
      </c>
    </row>
    <row r="94" spans="3:16" x14ac:dyDescent="0.2">
      <c r="C94" t="s">
        <v>37</v>
      </c>
      <c r="D94">
        <f t="shared" si="49"/>
        <v>1.3148458044465699E-2</v>
      </c>
      <c r="E94">
        <v>0</v>
      </c>
      <c r="F94">
        <v>0</v>
      </c>
      <c r="G94">
        <v>0</v>
      </c>
      <c r="I94">
        <f t="shared" si="50"/>
        <v>8.3333333333333329E-2</v>
      </c>
      <c r="J94">
        <v>0.23</v>
      </c>
      <c r="K94">
        <f t="shared" si="50"/>
        <v>8.3333333333333329E-2</v>
      </c>
    </row>
    <row r="95" spans="3:16" x14ac:dyDescent="0.2">
      <c r="C95" t="s">
        <v>38</v>
      </c>
      <c r="D95">
        <f t="shared" si="49"/>
        <v>1.6136743963662447E-2</v>
      </c>
      <c r="E95">
        <v>0</v>
      </c>
      <c r="F95">
        <v>0</v>
      </c>
      <c r="G95">
        <v>0</v>
      </c>
      <c r="I95">
        <f t="shared" si="50"/>
        <v>8.3333333333333329E-2</v>
      </c>
      <c r="J95">
        <v>0.11</v>
      </c>
      <c r="K95">
        <f t="shared" si="50"/>
        <v>8.3333333333333329E-2</v>
      </c>
    </row>
    <row r="99" spans="3:38" x14ac:dyDescent="0.2">
      <c r="C99" s="7" t="s">
        <v>6</v>
      </c>
      <c r="D99" s="7" t="s">
        <v>2</v>
      </c>
      <c r="E99" s="7" t="s">
        <v>3</v>
      </c>
      <c r="F99" s="7" t="s">
        <v>39</v>
      </c>
      <c r="G99" s="7" t="s">
        <v>40</v>
      </c>
      <c r="H99" s="7" t="s">
        <v>2</v>
      </c>
      <c r="I99" s="6" t="s">
        <v>3</v>
      </c>
      <c r="J99" s="7" t="s">
        <v>41</v>
      </c>
      <c r="K99" s="7" t="s">
        <v>42</v>
      </c>
      <c r="L99" s="7" t="s">
        <v>43</v>
      </c>
      <c r="M99" s="7" t="s">
        <v>44</v>
      </c>
      <c r="N99" s="7" t="s">
        <v>43</v>
      </c>
      <c r="O99" s="7" t="s">
        <v>44</v>
      </c>
      <c r="P99" s="7" t="s">
        <v>43</v>
      </c>
      <c r="Q99" s="7" t="s">
        <v>44</v>
      </c>
      <c r="R99" s="6" t="s">
        <v>43</v>
      </c>
      <c r="S99" s="7" t="s">
        <v>44</v>
      </c>
      <c r="T99" s="21" t="s">
        <v>44</v>
      </c>
      <c r="U99" s="7" t="s">
        <v>43</v>
      </c>
      <c r="V99" s="6" t="s">
        <v>44</v>
      </c>
      <c r="W99" s="7" t="s">
        <v>45</v>
      </c>
      <c r="X99" s="7" t="s">
        <v>46</v>
      </c>
      <c r="Y99" s="7" t="s">
        <v>47</v>
      </c>
      <c r="Z99" s="7" t="s">
        <v>48</v>
      </c>
      <c r="AA99" s="6" t="s">
        <v>94</v>
      </c>
      <c r="AB99" s="6" t="s">
        <v>95</v>
      </c>
      <c r="AC99" s="7" t="s">
        <v>77</v>
      </c>
      <c r="AD99" s="7" t="s">
        <v>77</v>
      </c>
      <c r="AE99" s="6" t="s">
        <v>85</v>
      </c>
      <c r="AF99" s="7" t="s">
        <v>79</v>
      </c>
      <c r="AG99" s="7" t="s">
        <v>79</v>
      </c>
      <c r="AH99" s="6" t="s">
        <v>86</v>
      </c>
      <c r="AI99" s="7" t="s">
        <v>81</v>
      </c>
      <c r="AJ99" s="6" t="s">
        <v>82</v>
      </c>
      <c r="AK99" s="7" t="s">
        <v>87</v>
      </c>
      <c r="AL99" s="6" t="s">
        <v>84</v>
      </c>
    </row>
    <row r="100" spans="3:38" x14ac:dyDescent="0.2">
      <c r="C100" s="7"/>
      <c r="D100" s="7"/>
      <c r="E100" s="7"/>
      <c r="F100" s="7"/>
      <c r="G100" s="7"/>
      <c r="H100" s="7"/>
      <c r="I100" s="6"/>
      <c r="J100" s="7"/>
      <c r="K100" s="7"/>
      <c r="L100" s="7"/>
      <c r="M100" s="7"/>
      <c r="N100" s="7"/>
      <c r="O100" s="7"/>
      <c r="P100" s="7"/>
      <c r="Q100" s="7"/>
      <c r="R100" s="6"/>
      <c r="S100" s="7"/>
      <c r="T100" s="21"/>
      <c r="U100" s="7"/>
      <c r="V100" s="6"/>
      <c r="W100" s="7"/>
      <c r="X100" s="7"/>
      <c r="Y100" s="7"/>
      <c r="Z100" s="7"/>
      <c r="AA100" s="6"/>
      <c r="AB100" s="6"/>
      <c r="AC100" s="7"/>
      <c r="AD100" s="7"/>
      <c r="AE100" s="6"/>
      <c r="AF100" s="7"/>
      <c r="AG100" s="7"/>
      <c r="AH100" s="6"/>
      <c r="AI100" s="7"/>
      <c r="AJ100" s="6"/>
      <c r="AK100" s="7"/>
      <c r="AL100" s="6"/>
    </row>
    <row r="101" spans="3:38" x14ac:dyDescent="0.2">
      <c r="C101" s="7"/>
      <c r="D101" s="7"/>
      <c r="E101" s="7"/>
      <c r="F101" s="7"/>
      <c r="G101" s="7"/>
      <c r="H101" s="7" t="s">
        <v>49</v>
      </c>
      <c r="I101" s="6" t="s">
        <v>49</v>
      </c>
      <c r="J101" s="7" t="s">
        <v>50</v>
      </c>
      <c r="K101" s="7" t="s">
        <v>51</v>
      </c>
      <c r="L101" s="7" t="s">
        <v>52</v>
      </c>
      <c r="M101" s="7" t="s">
        <v>52</v>
      </c>
      <c r="N101" s="7" t="s">
        <v>53</v>
      </c>
      <c r="O101" s="7" t="s">
        <v>54</v>
      </c>
      <c r="P101" s="7" t="s">
        <v>55</v>
      </c>
      <c r="Q101" s="7" t="s">
        <v>55</v>
      </c>
      <c r="R101" s="6" t="s">
        <v>56</v>
      </c>
      <c r="S101" s="7" t="s">
        <v>56</v>
      </c>
      <c r="T101" s="21" t="s">
        <v>56</v>
      </c>
      <c r="U101" s="7" t="s">
        <v>57</v>
      </c>
      <c r="V101" s="6" t="s">
        <v>57</v>
      </c>
      <c r="W101" s="7"/>
      <c r="X101" s="7"/>
      <c r="Y101" s="7"/>
      <c r="Z101" s="7"/>
      <c r="AA101" s="6"/>
      <c r="AB101" s="6"/>
      <c r="AC101" s="7"/>
      <c r="AD101" s="7"/>
      <c r="AE101" s="6"/>
      <c r="AF101" s="7"/>
      <c r="AG101" s="7"/>
      <c r="AH101" s="6"/>
      <c r="AI101" s="7"/>
      <c r="AJ101" s="6"/>
      <c r="AK101" s="7"/>
      <c r="AL101" s="6"/>
    </row>
    <row r="102" spans="3:38" x14ac:dyDescent="0.2">
      <c r="C102" s="7"/>
      <c r="D102" s="7" t="s">
        <v>4</v>
      </c>
      <c r="E102" s="7" t="s">
        <v>4</v>
      </c>
      <c r="F102" s="7" t="s">
        <v>4</v>
      </c>
      <c r="G102" s="7" t="s">
        <v>4</v>
      </c>
      <c r="H102" s="7" t="s">
        <v>4</v>
      </c>
      <c r="I102" s="6" t="s">
        <v>4</v>
      </c>
      <c r="J102" s="7" t="s">
        <v>58</v>
      </c>
      <c r="K102" s="7" t="s">
        <v>4</v>
      </c>
      <c r="L102" s="7" t="s">
        <v>59</v>
      </c>
      <c r="M102" s="7" t="s">
        <v>4</v>
      </c>
      <c r="N102" s="7" t="s">
        <v>4</v>
      </c>
      <c r="O102" s="7" t="s">
        <v>4</v>
      </c>
      <c r="P102" s="7" t="s">
        <v>59</v>
      </c>
      <c r="Q102" s="7" t="s">
        <v>4</v>
      </c>
      <c r="R102" s="6" t="s">
        <v>59</v>
      </c>
      <c r="S102" s="7" t="s">
        <v>4</v>
      </c>
      <c r="T102" s="21" t="s">
        <v>4</v>
      </c>
      <c r="U102" s="7" t="s">
        <v>4</v>
      </c>
      <c r="V102" s="6" t="s">
        <v>4</v>
      </c>
      <c r="W102" s="7" t="s">
        <v>4</v>
      </c>
      <c r="X102" s="7" t="s">
        <v>4</v>
      </c>
      <c r="Y102" s="7" t="s">
        <v>4</v>
      </c>
      <c r="Z102" s="7" t="s">
        <v>4</v>
      </c>
      <c r="AA102" s="6" t="s">
        <v>4</v>
      </c>
      <c r="AB102" s="6" t="s">
        <v>4</v>
      </c>
      <c r="AC102" s="7" t="s">
        <v>4</v>
      </c>
      <c r="AD102" s="7" t="s">
        <v>4</v>
      </c>
      <c r="AE102" s="6" t="s">
        <v>4</v>
      </c>
      <c r="AF102" s="7" t="s">
        <v>4</v>
      </c>
      <c r="AG102" s="7" t="s">
        <v>4</v>
      </c>
      <c r="AH102" s="6" t="s">
        <v>4</v>
      </c>
      <c r="AI102" s="7" t="s">
        <v>4</v>
      </c>
      <c r="AJ102" s="6" t="s">
        <v>4</v>
      </c>
      <c r="AK102" s="7" t="s">
        <v>4</v>
      </c>
      <c r="AL102" s="6" t="s">
        <v>4</v>
      </c>
    </row>
    <row r="103" spans="3:38" x14ac:dyDescent="0.2">
      <c r="C103" t="s">
        <v>18</v>
      </c>
      <c r="D103">
        <f t="shared" ref="D103:D114" si="51">D84*$O$10</f>
        <v>2.0800000000000005</v>
      </c>
      <c r="E103">
        <f>D103</f>
        <v>2.0800000000000005</v>
      </c>
      <c r="F103">
        <v>0</v>
      </c>
      <c r="G103">
        <f>F103</f>
        <v>0</v>
      </c>
      <c r="H103">
        <f>D103+F103</f>
        <v>2.0800000000000005</v>
      </c>
      <c r="I103" s="1">
        <f>H103</f>
        <v>2.0800000000000005</v>
      </c>
      <c r="J103">
        <f t="shared" ref="J103:J114" si="52">H84*$O$12</f>
        <v>0</v>
      </c>
      <c r="K103">
        <f>J103</f>
        <v>0</v>
      </c>
      <c r="L103">
        <f t="shared" ref="L103:L114" si="53">I84*$O$13</f>
        <v>2.5</v>
      </c>
      <c r="M103">
        <f>L103</f>
        <v>2.5</v>
      </c>
      <c r="N103">
        <f t="shared" ref="N103:N114" si="54">J84*$O$14</f>
        <v>0</v>
      </c>
      <c r="O103">
        <f>N103</f>
        <v>0</v>
      </c>
      <c r="P103">
        <f t="shared" ref="P103:P114" si="55">K84*$O$15</f>
        <v>0</v>
      </c>
      <c r="Q103">
        <f>P103</f>
        <v>0</v>
      </c>
      <c r="R103" s="23">
        <v>4.4716666666666685</v>
      </c>
      <c r="S103" s="9">
        <f>R103</f>
        <v>4.4716666666666685</v>
      </c>
      <c r="T103" s="21">
        <f t="shared" ref="T103:T114" si="56">IF(S103&lt;=$S$35,S103,0)</f>
        <v>0</v>
      </c>
      <c r="U103">
        <f t="shared" ref="U103:U114" si="57">(J103+L103+N103+P103+R103)</f>
        <v>6.9716666666666685</v>
      </c>
      <c r="V103" s="1">
        <f>U103</f>
        <v>6.9716666666666685</v>
      </c>
      <c r="W103">
        <f t="shared" ref="W103:W114" si="58">H103-U103</f>
        <v>-4.8916666666666675</v>
      </c>
      <c r="X103" s="9">
        <f>W103</f>
        <v>-4.8916666666666675</v>
      </c>
      <c r="Y103" s="9">
        <f>W103+$O$9</f>
        <v>13.608333333333333</v>
      </c>
      <c r="Z103" s="9">
        <f>X103+$O$9</f>
        <v>13.608333333333333</v>
      </c>
      <c r="AA103" s="10">
        <f>IF(Z103&lt;=$O$7,Z103,$O$7)</f>
        <v>13.608333333333333</v>
      </c>
      <c r="AB103" s="10">
        <f>IF(Z103&lt;=$O$8,AA103,$O$8)</f>
        <v>13.608333333333333</v>
      </c>
      <c r="AC103">
        <f t="shared" ref="AC103:AC114" si="59">IF(AA103&lt;$O$7,0,W103)</f>
        <v>0</v>
      </c>
      <c r="AD103">
        <f t="shared" ref="AD103:AD114" si="60">IF(AC103&lt;0,0,AC103)</f>
        <v>0</v>
      </c>
      <c r="AE103" s="1">
        <f>AD103</f>
        <v>0</v>
      </c>
      <c r="AF103">
        <f t="shared" ref="AF103:AF114" si="61">IF(AB103&lt;$O$8,0,W103)</f>
        <v>0</v>
      </c>
      <c r="AG103">
        <f>IF(AF103&lt;0,0,AF103)</f>
        <v>0</v>
      </c>
      <c r="AH103" s="1">
        <f>AG103</f>
        <v>0</v>
      </c>
      <c r="AI103">
        <f t="shared" ref="AI103:AI114" si="62">W103-AD103</f>
        <v>-4.8916666666666675</v>
      </c>
      <c r="AJ103" s="1">
        <f>AI103</f>
        <v>-4.8916666666666675</v>
      </c>
      <c r="AK103">
        <f t="shared" ref="AK103:AK114" si="63">W103-AG103</f>
        <v>-4.8916666666666675</v>
      </c>
      <c r="AL103" s="1">
        <f>AK103</f>
        <v>-4.8916666666666675</v>
      </c>
    </row>
    <row r="104" spans="3:38" x14ac:dyDescent="0.2">
      <c r="C104" t="s">
        <v>20</v>
      </c>
      <c r="D104">
        <f t="shared" si="51"/>
        <v>7.8600000000000012</v>
      </c>
      <c r="E104">
        <f>E103+D104</f>
        <v>9.9400000000000013</v>
      </c>
      <c r="F104">
        <v>0</v>
      </c>
      <c r="G104">
        <f t="shared" ref="G104:G114" si="64">F104</f>
        <v>0</v>
      </c>
      <c r="H104">
        <f t="shared" ref="H104:H114" si="65">D104+F104</f>
        <v>7.8600000000000012</v>
      </c>
      <c r="I104" s="1">
        <f>I103+H104</f>
        <v>9.9400000000000013</v>
      </c>
      <c r="J104">
        <f t="shared" si="52"/>
        <v>0</v>
      </c>
      <c r="K104">
        <f>K103+J104</f>
        <v>0</v>
      </c>
      <c r="L104">
        <f t="shared" si="53"/>
        <v>2.5</v>
      </c>
      <c r="M104">
        <f>M103+L104</f>
        <v>5</v>
      </c>
      <c r="N104">
        <f t="shared" si="54"/>
        <v>0</v>
      </c>
      <c r="O104">
        <f>O103+N104</f>
        <v>0</v>
      </c>
      <c r="P104">
        <f t="shared" si="55"/>
        <v>0</v>
      </c>
      <c r="Q104">
        <f>Q103+P104</f>
        <v>0</v>
      </c>
      <c r="R104" s="23">
        <v>4.4716666666666685</v>
      </c>
      <c r="S104" s="9">
        <f t="shared" ref="S104:S114" si="66">S103+R104</f>
        <v>8.9433333333333369</v>
      </c>
      <c r="T104" s="21">
        <f t="shared" si="56"/>
        <v>0</v>
      </c>
      <c r="U104">
        <f t="shared" si="57"/>
        <v>6.9716666666666685</v>
      </c>
      <c r="V104" s="1">
        <f xml:space="preserve"> V103+U104</f>
        <v>13.943333333333337</v>
      </c>
      <c r="W104">
        <f t="shared" si="58"/>
        <v>0.88833333333333275</v>
      </c>
      <c r="X104" s="9">
        <f>X103+W104</f>
        <v>-4.0033333333333347</v>
      </c>
      <c r="Y104" s="9">
        <f t="shared" ref="Y104:Y115" si="67">W104+$O$9</f>
        <v>19.388333333333332</v>
      </c>
      <c r="Z104" s="9">
        <f t="shared" ref="Z104:Z114" si="68">X104+$O$9</f>
        <v>14.496666666666666</v>
      </c>
      <c r="AA104" s="10">
        <f t="shared" ref="AA104:AA114" si="69">IF(Z104&lt;=$O$7,Z104,$O$7)</f>
        <v>14.496666666666666</v>
      </c>
      <c r="AB104" s="10">
        <f t="shared" ref="AB104:AB114" si="70">IF(Z104&lt;=$O$8,AA104,$O$8)</f>
        <v>14.496666666666666</v>
      </c>
      <c r="AC104">
        <f t="shared" si="59"/>
        <v>0</v>
      </c>
      <c r="AD104">
        <f t="shared" si="60"/>
        <v>0</v>
      </c>
      <c r="AE104" s="1">
        <f>AE103+AD104</f>
        <v>0</v>
      </c>
      <c r="AF104">
        <f t="shared" si="61"/>
        <v>0</v>
      </c>
      <c r="AG104">
        <f t="shared" ref="AG104:AG114" si="71">IF(AF104&lt;0,0,AF104)</f>
        <v>0</v>
      </c>
      <c r="AH104" s="1">
        <f>AH103+AG104</f>
        <v>0</v>
      </c>
      <c r="AI104">
        <f t="shared" si="62"/>
        <v>0.88833333333333275</v>
      </c>
      <c r="AJ104" s="1">
        <f>AJ103+AI104</f>
        <v>-4.0033333333333347</v>
      </c>
      <c r="AK104">
        <f t="shared" si="63"/>
        <v>0.88833333333333275</v>
      </c>
      <c r="AL104" s="1">
        <f>AL103+AK104</f>
        <v>-4.0033333333333347</v>
      </c>
    </row>
    <row r="105" spans="3:38" x14ac:dyDescent="0.2">
      <c r="C105" t="s">
        <v>23</v>
      </c>
      <c r="D105">
        <f t="shared" si="51"/>
        <v>12.950000000000001</v>
      </c>
      <c r="E105">
        <f t="shared" ref="E105:E114" si="72">E104+D105</f>
        <v>22.89</v>
      </c>
      <c r="F105">
        <v>0</v>
      </c>
      <c r="G105">
        <f t="shared" si="64"/>
        <v>0</v>
      </c>
      <c r="H105">
        <f t="shared" si="65"/>
        <v>12.950000000000001</v>
      </c>
      <c r="I105" s="1">
        <f t="shared" ref="I105:I114" si="73">I104+H105</f>
        <v>22.89</v>
      </c>
      <c r="J105">
        <f t="shared" si="52"/>
        <v>0</v>
      </c>
      <c r="K105">
        <f>K104+J105</f>
        <v>0</v>
      </c>
      <c r="L105">
        <f t="shared" si="53"/>
        <v>2.5</v>
      </c>
      <c r="M105">
        <f t="shared" ref="M105:M114" si="74">M104+L105</f>
        <v>7.5</v>
      </c>
      <c r="N105">
        <f t="shared" si="54"/>
        <v>0</v>
      </c>
      <c r="O105">
        <f t="shared" ref="O105:O114" si="75">O104+N105</f>
        <v>0</v>
      </c>
      <c r="P105">
        <f t="shared" si="55"/>
        <v>0</v>
      </c>
      <c r="Q105">
        <f t="shared" ref="Q105:Q114" si="76">Q104+P105</f>
        <v>0</v>
      </c>
      <c r="R105" s="23">
        <v>4.4716666666666685</v>
      </c>
      <c r="S105" s="9">
        <f t="shared" si="66"/>
        <v>13.415000000000006</v>
      </c>
      <c r="T105" s="21">
        <f t="shared" si="56"/>
        <v>0</v>
      </c>
      <c r="U105">
        <f t="shared" si="57"/>
        <v>6.9716666666666685</v>
      </c>
      <c r="V105" s="1">
        <f t="shared" ref="V105:V114" si="77" xml:space="preserve"> V104+U105</f>
        <v>20.915000000000006</v>
      </c>
      <c r="W105">
        <f t="shared" si="58"/>
        <v>5.9783333333333326</v>
      </c>
      <c r="X105" s="9">
        <f t="shared" ref="X105:X114" si="78">X104+W105</f>
        <v>1.9749999999999979</v>
      </c>
      <c r="Y105" s="9">
        <f t="shared" si="67"/>
        <v>24.478333333333332</v>
      </c>
      <c r="Z105" s="9">
        <f t="shared" si="68"/>
        <v>20.474999999999998</v>
      </c>
      <c r="AA105" s="10">
        <f t="shared" si="69"/>
        <v>20.474999999999998</v>
      </c>
      <c r="AB105" s="10">
        <f t="shared" si="70"/>
        <v>20.474999999999998</v>
      </c>
      <c r="AC105">
        <f t="shared" si="59"/>
        <v>0</v>
      </c>
      <c r="AD105">
        <f t="shared" si="60"/>
        <v>0</v>
      </c>
      <c r="AE105" s="1">
        <f t="shared" ref="AE105:AE114" si="79">AE104+AD105</f>
        <v>0</v>
      </c>
      <c r="AF105">
        <f t="shared" si="61"/>
        <v>0</v>
      </c>
      <c r="AG105">
        <f t="shared" si="71"/>
        <v>0</v>
      </c>
      <c r="AH105" s="1">
        <f t="shared" ref="AH105:AH114" si="80">AH104+AG105</f>
        <v>0</v>
      </c>
      <c r="AI105">
        <f t="shared" si="62"/>
        <v>5.9783333333333326</v>
      </c>
      <c r="AJ105" s="1">
        <f t="shared" ref="AJ105:AJ114" si="81">AJ104+AI105</f>
        <v>1.9749999999999979</v>
      </c>
      <c r="AK105">
        <f t="shared" si="63"/>
        <v>5.9783333333333326</v>
      </c>
      <c r="AL105" s="1">
        <f t="shared" ref="AL105:AL114" si="82">AL104+AK105</f>
        <v>1.9749999999999979</v>
      </c>
    </row>
    <row r="106" spans="3:38" x14ac:dyDescent="0.2">
      <c r="C106" t="s">
        <v>25</v>
      </c>
      <c r="D106">
        <f t="shared" si="51"/>
        <v>14.320000000000002</v>
      </c>
      <c r="E106">
        <f t="shared" si="72"/>
        <v>37.21</v>
      </c>
      <c r="F106">
        <v>0</v>
      </c>
      <c r="G106">
        <f t="shared" si="64"/>
        <v>0</v>
      </c>
      <c r="H106">
        <f t="shared" si="65"/>
        <v>14.320000000000002</v>
      </c>
      <c r="I106" s="1">
        <f t="shared" si="73"/>
        <v>37.21</v>
      </c>
      <c r="J106">
        <f t="shared" si="52"/>
        <v>0</v>
      </c>
      <c r="K106">
        <f t="shared" ref="K106:K114" si="83">K105+J106</f>
        <v>0</v>
      </c>
      <c r="L106">
        <f t="shared" si="53"/>
        <v>2.5</v>
      </c>
      <c r="M106">
        <f t="shared" si="74"/>
        <v>10</v>
      </c>
      <c r="N106">
        <f t="shared" si="54"/>
        <v>0</v>
      </c>
      <c r="O106">
        <f t="shared" si="75"/>
        <v>0</v>
      </c>
      <c r="P106">
        <f t="shared" si="55"/>
        <v>0</v>
      </c>
      <c r="Q106">
        <f t="shared" si="76"/>
        <v>0</v>
      </c>
      <c r="R106" s="23">
        <v>4.4716666666666685</v>
      </c>
      <c r="S106" s="9">
        <f t="shared" si="66"/>
        <v>17.886666666666674</v>
      </c>
      <c r="T106" s="21">
        <f t="shared" si="56"/>
        <v>0</v>
      </c>
      <c r="U106">
        <f t="shared" si="57"/>
        <v>6.9716666666666685</v>
      </c>
      <c r="V106" s="1">
        <f t="shared" si="77"/>
        <v>27.886666666666674</v>
      </c>
      <c r="W106">
        <f t="shared" si="58"/>
        <v>7.3483333333333336</v>
      </c>
      <c r="X106" s="9">
        <f t="shared" si="78"/>
        <v>9.3233333333333306</v>
      </c>
      <c r="Y106" s="9">
        <f t="shared" si="67"/>
        <v>25.848333333333333</v>
      </c>
      <c r="Z106" s="9">
        <f t="shared" si="68"/>
        <v>27.823333333333331</v>
      </c>
      <c r="AA106" s="10">
        <f t="shared" si="69"/>
        <v>27.823333333333331</v>
      </c>
      <c r="AB106" s="10">
        <f t="shared" si="70"/>
        <v>27.823333333333331</v>
      </c>
      <c r="AC106">
        <f t="shared" si="59"/>
        <v>0</v>
      </c>
      <c r="AD106">
        <f t="shared" si="60"/>
        <v>0</v>
      </c>
      <c r="AE106" s="1">
        <f t="shared" si="79"/>
        <v>0</v>
      </c>
      <c r="AF106">
        <f t="shared" si="61"/>
        <v>0</v>
      </c>
      <c r="AG106">
        <f t="shared" si="71"/>
        <v>0</v>
      </c>
      <c r="AH106" s="1">
        <f t="shared" si="80"/>
        <v>0</v>
      </c>
      <c r="AI106">
        <f t="shared" si="62"/>
        <v>7.3483333333333336</v>
      </c>
      <c r="AJ106" s="1">
        <f t="shared" si="81"/>
        <v>9.3233333333333306</v>
      </c>
      <c r="AK106">
        <f t="shared" si="63"/>
        <v>7.3483333333333336</v>
      </c>
      <c r="AL106" s="1">
        <f t="shared" si="82"/>
        <v>9.3233333333333306</v>
      </c>
    </row>
    <row r="107" spans="3:38" x14ac:dyDescent="0.2">
      <c r="C107" t="s">
        <v>27</v>
      </c>
      <c r="D107">
        <f t="shared" si="51"/>
        <v>14.160000000000004</v>
      </c>
      <c r="E107">
        <f t="shared" si="72"/>
        <v>51.370000000000005</v>
      </c>
      <c r="F107">
        <v>0</v>
      </c>
      <c r="G107">
        <f t="shared" si="64"/>
        <v>0</v>
      </c>
      <c r="H107">
        <f t="shared" si="65"/>
        <v>14.160000000000004</v>
      </c>
      <c r="I107" s="1">
        <f t="shared" si="73"/>
        <v>51.370000000000005</v>
      </c>
      <c r="J107">
        <f t="shared" si="52"/>
        <v>0</v>
      </c>
      <c r="K107">
        <f t="shared" si="83"/>
        <v>0</v>
      </c>
      <c r="L107">
        <f t="shared" si="53"/>
        <v>2.5</v>
      </c>
      <c r="M107">
        <f t="shared" si="74"/>
        <v>12.5</v>
      </c>
      <c r="N107">
        <f t="shared" si="54"/>
        <v>0</v>
      </c>
      <c r="O107">
        <f t="shared" si="75"/>
        <v>0</v>
      </c>
      <c r="P107">
        <f t="shared" si="55"/>
        <v>0</v>
      </c>
      <c r="Q107">
        <f t="shared" si="76"/>
        <v>0</v>
      </c>
      <c r="R107" s="23">
        <v>4.4716666666666685</v>
      </c>
      <c r="S107" s="9">
        <f t="shared" si="66"/>
        <v>22.358333333333341</v>
      </c>
      <c r="T107" s="21">
        <f t="shared" si="56"/>
        <v>0</v>
      </c>
      <c r="U107">
        <f t="shared" si="57"/>
        <v>6.9716666666666685</v>
      </c>
      <c r="V107" s="1">
        <f t="shared" si="77"/>
        <v>34.858333333333341</v>
      </c>
      <c r="W107">
        <f t="shared" si="58"/>
        <v>7.1883333333333352</v>
      </c>
      <c r="X107" s="9">
        <f t="shared" si="78"/>
        <v>16.511666666666667</v>
      </c>
      <c r="Y107" s="9">
        <f t="shared" si="67"/>
        <v>25.688333333333336</v>
      </c>
      <c r="Z107" s="9">
        <f t="shared" si="68"/>
        <v>35.01166666666667</v>
      </c>
      <c r="AA107" s="10">
        <f t="shared" si="69"/>
        <v>35.01166666666667</v>
      </c>
      <c r="AB107" s="10">
        <f t="shared" si="70"/>
        <v>35.01166666666667</v>
      </c>
      <c r="AC107">
        <f t="shared" si="59"/>
        <v>0</v>
      </c>
      <c r="AD107">
        <f t="shared" si="60"/>
        <v>0</v>
      </c>
      <c r="AE107" s="1">
        <f t="shared" si="79"/>
        <v>0</v>
      </c>
      <c r="AF107">
        <f t="shared" si="61"/>
        <v>0</v>
      </c>
      <c r="AG107">
        <f t="shared" si="71"/>
        <v>0</v>
      </c>
      <c r="AH107" s="1">
        <f t="shared" si="80"/>
        <v>0</v>
      </c>
      <c r="AI107">
        <f t="shared" si="62"/>
        <v>7.1883333333333352</v>
      </c>
      <c r="AJ107" s="1">
        <f t="shared" si="81"/>
        <v>16.511666666666667</v>
      </c>
      <c r="AK107">
        <f t="shared" si="63"/>
        <v>7.1883333333333352</v>
      </c>
      <c r="AL107" s="1">
        <f t="shared" si="82"/>
        <v>16.511666666666667</v>
      </c>
    </row>
    <row r="108" spans="3:38" x14ac:dyDescent="0.2">
      <c r="C108" t="s">
        <v>29</v>
      </c>
      <c r="D108">
        <f t="shared" si="51"/>
        <v>15.320000000000004</v>
      </c>
      <c r="E108">
        <f t="shared" si="72"/>
        <v>66.690000000000012</v>
      </c>
      <c r="F108">
        <v>0</v>
      </c>
      <c r="G108">
        <f t="shared" si="64"/>
        <v>0</v>
      </c>
      <c r="H108">
        <f t="shared" si="65"/>
        <v>15.320000000000004</v>
      </c>
      <c r="I108" s="1">
        <f t="shared" si="73"/>
        <v>66.690000000000012</v>
      </c>
      <c r="J108">
        <f t="shared" si="52"/>
        <v>0</v>
      </c>
      <c r="K108">
        <f t="shared" si="83"/>
        <v>0</v>
      </c>
      <c r="L108">
        <f t="shared" si="53"/>
        <v>2.5</v>
      </c>
      <c r="M108">
        <f t="shared" si="74"/>
        <v>15</v>
      </c>
      <c r="N108">
        <f t="shared" si="54"/>
        <v>0</v>
      </c>
      <c r="O108">
        <f t="shared" si="75"/>
        <v>0</v>
      </c>
      <c r="P108">
        <f t="shared" si="55"/>
        <v>0</v>
      </c>
      <c r="Q108">
        <f t="shared" si="76"/>
        <v>0</v>
      </c>
      <c r="R108" s="23">
        <v>4.4716666666666685</v>
      </c>
      <c r="S108" s="9">
        <f t="shared" si="66"/>
        <v>26.830000000000009</v>
      </c>
      <c r="T108" s="21">
        <f t="shared" si="56"/>
        <v>0</v>
      </c>
      <c r="U108">
        <f t="shared" si="57"/>
        <v>6.9716666666666685</v>
      </c>
      <c r="V108" s="1">
        <f t="shared" si="77"/>
        <v>41.830000000000013</v>
      </c>
      <c r="W108">
        <f t="shared" si="58"/>
        <v>8.3483333333333363</v>
      </c>
      <c r="X108" s="9">
        <f t="shared" si="78"/>
        <v>24.860000000000003</v>
      </c>
      <c r="Y108" s="9">
        <f t="shared" si="67"/>
        <v>26.848333333333336</v>
      </c>
      <c r="Z108" s="9">
        <f t="shared" si="68"/>
        <v>43.36</v>
      </c>
      <c r="AA108" s="10">
        <f t="shared" si="69"/>
        <v>43.36</v>
      </c>
      <c r="AB108" s="10">
        <f t="shared" si="70"/>
        <v>43.36</v>
      </c>
      <c r="AC108">
        <f t="shared" si="59"/>
        <v>0</v>
      </c>
      <c r="AD108">
        <f t="shared" si="60"/>
        <v>0</v>
      </c>
      <c r="AE108" s="1">
        <f t="shared" si="79"/>
        <v>0</v>
      </c>
      <c r="AF108">
        <f t="shared" si="61"/>
        <v>0</v>
      </c>
      <c r="AG108">
        <f t="shared" si="71"/>
        <v>0</v>
      </c>
      <c r="AH108" s="1">
        <f t="shared" si="80"/>
        <v>0</v>
      </c>
      <c r="AI108">
        <f t="shared" si="62"/>
        <v>8.3483333333333363</v>
      </c>
      <c r="AJ108" s="1">
        <f t="shared" si="81"/>
        <v>24.860000000000003</v>
      </c>
      <c r="AK108">
        <f t="shared" si="63"/>
        <v>8.3483333333333363</v>
      </c>
      <c r="AL108" s="1">
        <f t="shared" si="82"/>
        <v>24.860000000000003</v>
      </c>
    </row>
    <row r="109" spans="3:38" x14ac:dyDescent="0.2">
      <c r="C109" t="s">
        <v>31</v>
      </c>
      <c r="D109">
        <f t="shared" si="51"/>
        <v>6.8500000000000014</v>
      </c>
      <c r="E109">
        <f t="shared" si="72"/>
        <v>73.54000000000002</v>
      </c>
      <c r="F109">
        <v>0</v>
      </c>
      <c r="G109">
        <f t="shared" si="64"/>
        <v>0</v>
      </c>
      <c r="H109" s="9">
        <f t="shared" si="65"/>
        <v>6.8500000000000014</v>
      </c>
      <c r="I109" s="10">
        <f t="shared" si="73"/>
        <v>73.54000000000002</v>
      </c>
      <c r="J109">
        <f t="shared" si="52"/>
        <v>0</v>
      </c>
      <c r="K109">
        <f t="shared" si="83"/>
        <v>0</v>
      </c>
      <c r="L109">
        <f t="shared" si="53"/>
        <v>2.5</v>
      </c>
      <c r="M109">
        <f t="shared" si="74"/>
        <v>17.5</v>
      </c>
      <c r="N109">
        <f t="shared" si="54"/>
        <v>0</v>
      </c>
      <c r="O109">
        <f t="shared" si="75"/>
        <v>0</v>
      </c>
      <c r="P109">
        <f t="shared" si="55"/>
        <v>0</v>
      </c>
      <c r="Q109">
        <f t="shared" si="76"/>
        <v>0</v>
      </c>
      <c r="R109" s="23">
        <v>4.4716666666666685</v>
      </c>
      <c r="S109" s="9">
        <f t="shared" si="66"/>
        <v>31.301666666666677</v>
      </c>
      <c r="T109" s="21">
        <f t="shared" si="56"/>
        <v>0</v>
      </c>
      <c r="U109" s="9">
        <f t="shared" si="57"/>
        <v>6.9716666666666685</v>
      </c>
      <c r="V109" s="10">
        <f t="shared" si="77"/>
        <v>48.801666666666684</v>
      </c>
      <c r="W109">
        <f t="shared" si="58"/>
        <v>-0.12166666666666703</v>
      </c>
      <c r="X109" s="9">
        <f t="shared" si="78"/>
        <v>24.738333333333337</v>
      </c>
      <c r="Y109" s="9">
        <f t="shared" si="67"/>
        <v>18.378333333333334</v>
      </c>
      <c r="Z109" s="9">
        <f t="shared" si="68"/>
        <v>43.238333333333337</v>
      </c>
      <c r="AA109" s="10">
        <f t="shared" si="69"/>
        <v>43.238333333333337</v>
      </c>
      <c r="AB109" s="10">
        <f t="shared" si="70"/>
        <v>43.238333333333337</v>
      </c>
      <c r="AC109">
        <f t="shared" si="59"/>
        <v>0</v>
      </c>
      <c r="AD109">
        <f t="shared" si="60"/>
        <v>0</v>
      </c>
      <c r="AE109" s="1">
        <f t="shared" si="79"/>
        <v>0</v>
      </c>
      <c r="AF109">
        <f t="shared" si="61"/>
        <v>0</v>
      </c>
      <c r="AG109">
        <f t="shared" si="71"/>
        <v>0</v>
      </c>
      <c r="AH109" s="1">
        <f t="shared" si="80"/>
        <v>0</v>
      </c>
      <c r="AI109">
        <f t="shared" si="62"/>
        <v>-0.12166666666666703</v>
      </c>
      <c r="AJ109" s="1">
        <f t="shared" si="81"/>
        <v>24.738333333333337</v>
      </c>
      <c r="AK109">
        <f t="shared" si="63"/>
        <v>-0.12166666666666703</v>
      </c>
      <c r="AL109" s="1">
        <f t="shared" si="82"/>
        <v>24.738333333333337</v>
      </c>
    </row>
    <row r="110" spans="3:38" x14ac:dyDescent="0.2">
      <c r="C110" t="s">
        <v>33</v>
      </c>
      <c r="D110">
        <f t="shared" si="51"/>
        <v>3.9000000000000004</v>
      </c>
      <c r="E110">
        <f t="shared" si="72"/>
        <v>77.440000000000026</v>
      </c>
      <c r="F110">
        <v>0</v>
      </c>
      <c r="G110">
        <f t="shared" si="64"/>
        <v>0</v>
      </c>
      <c r="H110" s="9">
        <f t="shared" si="65"/>
        <v>3.9000000000000004</v>
      </c>
      <c r="I110" s="10">
        <f t="shared" si="73"/>
        <v>77.440000000000026</v>
      </c>
      <c r="J110">
        <f t="shared" si="52"/>
        <v>0</v>
      </c>
      <c r="K110">
        <f t="shared" si="83"/>
        <v>0</v>
      </c>
      <c r="L110">
        <f t="shared" si="53"/>
        <v>2.5</v>
      </c>
      <c r="M110">
        <f t="shared" si="74"/>
        <v>20</v>
      </c>
      <c r="N110">
        <f t="shared" si="54"/>
        <v>0</v>
      </c>
      <c r="O110">
        <f t="shared" si="75"/>
        <v>0</v>
      </c>
      <c r="P110">
        <f t="shared" si="55"/>
        <v>0</v>
      </c>
      <c r="Q110">
        <f t="shared" si="76"/>
        <v>0</v>
      </c>
      <c r="R110" s="23">
        <v>4.4716666666666685</v>
      </c>
      <c r="S110" s="9">
        <f t="shared" si="66"/>
        <v>35.773333333333348</v>
      </c>
      <c r="T110" s="21">
        <f t="shared" si="56"/>
        <v>0</v>
      </c>
      <c r="U110" s="9">
        <f t="shared" si="57"/>
        <v>6.9716666666666685</v>
      </c>
      <c r="V110" s="10">
        <f t="shared" si="77"/>
        <v>55.773333333333355</v>
      </c>
      <c r="W110">
        <f t="shared" si="58"/>
        <v>-3.0716666666666681</v>
      </c>
      <c r="X110" s="9">
        <f t="shared" si="78"/>
        <v>21.666666666666668</v>
      </c>
      <c r="Y110" s="9">
        <f t="shared" si="67"/>
        <v>15.428333333333331</v>
      </c>
      <c r="Z110" s="9">
        <f t="shared" si="68"/>
        <v>40.166666666666671</v>
      </c>
      <c r="AA110" s="10">
        <f t="shared" si="69"/>
        <v>40.166666666666671</v>
      </c>
      <c r="AB110" s="10">
        <f t="shared" si="70"/>
        <v>40.166666666666671</v>
      </c>
      <c r="AC110">
        <f t="shared" si="59"/>
        <v>0</v>
      </c>
      <c r="AD110">
        <f t="shared" si="60"/>
        <v>0</v>
      </c>
      <c r="AE110" s="1">
        <f t="shared" si="79"/>
        <v>0</v>
      </c>
      <c r="AF110">
        <f t="shared" si="61"/>
        <v>0</v>
      </c>
      <c r="AG110">
        <f t="shared" si="71"/>
        <v>0</v>
      </c>
      <c r="AH110" s="1">
        <f t="shared" si="80"/>
        <v>0</v>
      </c>
      <c r="AI110">
        <f t="shared" si="62"/>
        <v>-3.0716666666666681</v>
      </c>
      <c r="AJ110" s="1">
        <f t="shared" si="81"/>
        <v>21.666666666666668</v>
      </c>
      <c r="AK110">
        <f t="shared" si="63"/>
        <v>-3.0716666666666681</v>
      </c>
      <c r="AL110" s="1">
        <f t="shared" si="82"/>
        <v>21.666666666666668</v>
      </c>
    </row>
    <row r="111" spans="3:38" x14ac:dyDescent="0.2">
      <c r="C111" t="s">
        <v>35</v>
      </c>
      <c r="D111">
        <f t="shared" si="51"/>
        <v>2.3100000000000005</v>
      </c>
      <c r="E111">
        <f t="shared" si="72"/>
        <v>79.750000000000028</v>
      </c>
      <c r="F111">
        <v>0</v>
      </c>
      <c r="G111">
        <f t="shared" si="64"/>
        <v>0</v>
      </c>
      <c r="H111" s="9">
        <f t="shared" si="65"/>
        <v>2.3100000000000005</v>
      </c>
      <c r="I111" s="10">
        <f t="shared" si="73"/>
        <v>79.750000000000028</v>
      </c>
      <c r="J111">
        <f t="shared" si="52"/>
        <v>0</v>
      </c>
      <c r="K111">
        <f t="shared" si="83"/>
        <v>0</v>
      </c>
      <c r="L111">
        <f t="shared" si="53"/>
        <v>2.5</v>
      </c>
      <c r="M111">
        <f t="shared" si="74"/>
        <v>22.5</v>
      </c>
      <c r="N111">
        <f t="shared" si="54"/>
        <v>0</v>
      </c>
      <c r="O111">
        <f t="shared" si="75"/>
        <v>0</v>
      </c>
      <c r="P111">
        <f t="shared" si="55"/>
        <v>0</v>
      </c>
      <c r="Q111">
        <f t="shared" si="76"/>
        <v>0</v>
      </c>
      <c r="R111" s="23">
        <v>4.4716666666666685</v>
      </c>
      <c r="S111" s="9">
        <f t="shared" si="66"/>
        <v>40.245000000000019</v>
      </c>
      <c r="T111" s="21">
        <f t="shared" si="56"/>
        <v>0</v>
      </c>
      <c r="U111" s="9">
        <f t="shared" si="57"/>
        <v>6.9716666666666685</v>
      </c>
      <c r="V111" s="10">
        <f t="shared" si="77"/>
        <v>62.745000000000026</v>
      </c>
      <c r="W111">
        <f t="shared" si="58"/>
        <v>-4.661666666666668</v>
      </c>
      <c r="X111" s="9">
        <f t="shared" si="78"/>
        <v>17.004999999999999</v>
      </c>
      <c r="Y111" s="9">
        <f t="shared" si="67"/>
        <v>13.838333333333331</v>
      </c>
      <c r="Z111" s="9">
        <f t="shared" si="68"/>
        <v>35.504999999999995</v>
      </c>
      <c r="AA111" s="10">
        <f t="shared" si="69"/>
        <v>35.504999999999995</v>
      </c>
      <c r="AB111" s="10">
        <f t="shared" si="70"/>
        <v>35.504999999999995</v>
      </c>
      <c r="AC111">
        <f t="shared" si="59"/>
        <v>0</v>
      </c>
      <c r="AD111">
        <f t="shared" si="60"/>
        <v>0</v>
      </c>
      <c r="AE111" s="1">
        <f t="shared" si="79"/>
        <v>0</v>
      </c>
      <c r="AF111">
        <f t="shared" si="61"/>
        <v>0</v>
      </c>
      <c r="AG111">
        <f t="shared" si="71"/>
        <v>0</v>
      </c>
      <c r="AH111" s="1">
        <f t="shared" si="80"/>
        <v>0</v>
      </c>
      <c r="AI111">
        <f t="shared" si="62"/>
        <v>-4.661666666666668</v>
      </c>
      <c r="AJ111" s="1">
        <f t="shared" si="81"/>
        <v>17.004999999999999</v>
      </c>
      <c r="AK111">
        <f t="shared" si="63"/>
        <v>-4.661666666666668</v>
      </c>
      <c r="AL111" s="1">
        <f t="shared" si="82"/>
        <v>17.004999999999999</v>
      </c>
    </row>
    <row r="112" spans="3:38" x14ac:dyDescent="0.2">
      <c r="C112" t="s">
        <v>36</v>
      </c>
      <c r="D112">
        <f t="shared" si="51"/>
        <v>1.4600000000000004</v>
      </c>
      <c r="E112">
        <f t="shared" si="72"/>
        <v>81.210000000000022</v>
      </c>
      <c r="F112">
        <v>0</v>
      </c>
      <c r="G112">
        <f t="shared" si="64"/>
        <v>0</v>
      </c>
      <c r="H112" s="9">
        <f t="shared" si="65"/>
        <v>1.4600000000000004</v>
      </c>
      <c r="I112" s="10">
        <f t="shared" si="73"/>
        <v>81.210000000000022</v>
      </c>
      <c r="J112">
        <f t="shared" si="52"/>
        <v>0</v>
      </c>
      <c r="K112">
        <f t="shared" si="83"/>
        <v>0</v>
      </c>
      <c r="L112">
        <f t="shared" si="53"/>
        <v>2.5</v>
      </c>
      <c r="M112">
        <f t="shared" si="74"/>
        <v>25</v>
      </c>
      <c r="N112">
        <f t="shared" si="54"/>
        <v>0</v>
      </c>
      <c r="O112">
        <f t="shared" si="75"/>
        <v>0</v>
      </c>
      <c r="P112">
        <f t="shared" si="55"/>
        <v>0</v>
      </c>
      <c r="Q112">
        <f t="shared" si="76"/>
        <v>0</v>
      </c>
      <c r="R112" s="23">
        <v>4.4716666666666685</v>
      </c>
      <c r="S112" s="9">
        <f t="shared" si="66"/>
        <v>44.71666666666669</v>
      </c>
      <c r="T112" s="21">
        <f t="shared" si="56"/>
        <v>0</v>
      </c>
      <c r="U112" s="9">
        <f t="shared" si="57"/>
        <v>6.9716666666666685</v>
      </c>
      <c r="V112" s="10">
        <f t="shared" si="77"/>
        <v>69.716666666666697</v>
      </c>
      <c r="W112">
        <f t="shared" si="58"/>
        <v>-5.5116666666666685</v>
      </c>
      <c r="X112" s="9">
        <f t="shared" si="78"/>
        <v>11.493333333333331</v>
      </c>
      <c r="Y112" s="9">
        <f t="shared" si="67"/>
        <v>12.988333333333332</v>
      </c>
      <c r="Z112" s="9">
        <f t="shared" si="68"/>
        <v>29.993333333333332</v>
      </c>
      <c r="AA112" s="10">
        <f t="shared" si="69"/>
        <v>29.993333333333332</v>
      </c>
      <c r="AB112" s="10">
        <f t="shared" si="70"/>
        <v>29.993333333333332</v>
      </c>
      <c r="AC112">
        <f t="shared" si="59"/>
        <v>0</v>
      </c>
      <c r="AD112">
        <f t="shared" si="60"/>
        <v>0</v>
      </c>
      <c r="AE112" s="1">
        <f t="shared" si="79"/>
        <v>0</v>
      </c>
      <c r="AF112">
        <f t="shared" si="61"/>
        <v>0</v>
      </c>
      <c r="AG112">
        <f t="shared" si="71"/>
        <v>0</v>
      </c>
      <c r="AH112" s="1">
        <f t="shared" si="80"/>
        <v>0</v>
      </c>
      <c r="AI112">
        <f t="shared" si="62"/>
        <v>-5.5116666666666685</v>
      </c>
      <c r="AJ112" s="1">
        <f t="shared" si="81"/>
        <v>11.493333333333331</v>
      </c>
      <c r="AK112">
        <f t="shared" si="63"/>
        <v>-5.5116666666666685</v>
      </c>
      <c r="AL112" s="1">
        <f t="shared" si="82"/>
        <v>11.493333333333331</v>
      </c>
    </row>
    <row r="113" spans="3:38" x14ac:dyDescent="0.2">
      <c r="C113" t="s">
        <v>37</v>
      </c>
      <c r="D113">
        <f t="shared" si="51"/>
        <v>1.1000000000000003</v>
      </c>
      <c r="E113">
        <f t="shared" si="72"/>
        <v>82.310000000000016</v>
      </c>
      <c r="F113">
        <v>0</v>
      </c>
      <c r="G113">
        <f t="shared" si="64"/>
        <v>0</v>
      </c>
      <c r="H113" s="9">
        <f t="shared" si="65"/>
        <v>1.1000000000000003</v>
      </c>
      <c r="I113" s="10">
        <f t="shared" si="73"/>
        <v>82.310000000000016</v>
      </c>
      <c r="J113">
        <f t="shared" si="52"/>
        <v>0</v>
      </c>
      <c r="K113">
        <f t="shared" si="83"/>
        <v>0</v>
      </c>
      <c r="L113">
        <f t="shared" si="53"/>
        <v>2.5</v>
      </c>
      <c r="M113">
        <f t="shared" si="74"/>
        <v>27.5</v>
      </c>
      <c r="N113">
        <f t="shared" si="54"/>
        <v>0</v>
      </c>
      <c r="O113">
        <f t="shared" si="75"/>
        <v>0</v>
      </c>
      <c r="P113">
        <f t="shared" si="55"/>
        <v>0</v>
      </c>
      <c r="Q113">
        <f t="shared" si="76"/>
        <v>0</v>
      </c>
      <c r="R113" s="23">
        <v>4.4716666666666685</v>
      </c>
      <c r="S113" s="9">
        <f t="shared" si="66"/>
        <v>49.188333333333361</v>
      </c>
      <c r="T113" s="21">
        <f t="shared" si="56"/>
        <v>0</v>
      </c>
      <c r="U113" s="9">
        <f t="shared" si="57"/>
        <v>6.9716666666666685</v>
      </c>
      <c r="V113" s="10">
        <f t="shared" si="77"/>
        <v>76.688333333333361</v>
      </c>
      <c r="W113">
        <f t="shared" si="58"/>
        <v>-5.8716666666666679</v>
      </c>
      <c r="X113" s="9">
        <f t="shared" si="78"/>
        <v>5.6216666666666626</v>
      </c>
      <c r="Y113" s="9">
        <f t="shared" si="67"/>
        <v>12.628333333333332</v>
      </c>
      <c r="Z113" s="9">
        <f t="shared" si="68"/>
        <v>24.121666666666663</v>
      </c>
      <c r="AA113" s="10">
        <f t="shared" si="69"/>
        <v>24.121666666666663</v>
      </c>
      <c r="AB113" s="10">
        <f t="shared" si="70"/>
        <v>24.121666666666663</v>
      </c>
      <c r="AC113">
        <f t="shared" si="59"/>
        <v>0</v>
      </c>
      <c r="AD113">
        <f t="shared" si="60"/>
        <v>0</v>
      </c>
      <c r="AE113" s="1">
        <f t="shared" si="79"/>
        <v>0</v>
      </c>
      <c r="AF113">
        <f t="shared" si="61"/>
        <v>0</v>
      </c>
      <c r="AG113">
        <f t="shared" si="71"/>
        <v>0</v>
      </c>
      <c r="AH113" s="1">
        <f t="shared" si="80"/>
        <v>0</v>
      </c>
      <c r="AI113">
        <f t="shared" si="62"/>
        <v>-5.8716666666666679</v>
      </c>
      <c r="AJ113" s="1">
        <f t="shared" si="81"/>
        <v>5.6216666666666626</v>
      </c>
      <c r="AK113">
        <f t="shared" si="63"/>
        <v>-5.8716666666666679</v>
      </c>
      <c r="AL113" s="1">
        <f t="shared" si="82"/>
        <v>5.6216666666666626</v>
      </c>
    </row>
    <row r="114" spans="3:38" x14ac:dyDescent="0.2">
      <c r="C114" t="s">
        <v>38</v>
      </c>
      <c r="D114">
        <f t="shared" si="51"/>
        <v>1.3500000000000003</v>
      </c>
      <c r="E114">
        <f t="shared" si="72"/>
        <v>83.660000000000011</v>
      </c>
      <c r="F114">
        <v>0</v>
      </c>
      <c r="G114">
        <f t="shared" si="64"/>
        <v>0</v>
      </c>
      <c r="H114" s="9">
        <f t="shared" si="65"/>
        <v>1.3500000000000003</v>
      </c>
      <c r="I114" s="10">
        <f t="shared" si="73"/>
        <v>83.660000000000011</v>
      </c>
      <c r="J114">
        <f t="shared" si="52"/>
        <v>0</v>
      </c>
      <c r="K114">
        <f t="shared" si="83"/>
        <v>0</v>
      </c>
      <c r="L114">
        <f t="shared" si="53"/>
        <v>2.5</v>
      </c>
      <c r="M114">
        <f t="shared" si="74"/>
        <v>30</v>
      </c>
      <c r="N114">
        <f t="shared" si="54"/>
        <v>0</v>
      </c>
      <c r="O114">
        <f t="shared" si="75"/>
        <v>0</v>
      </c>
      <c r="P114">
        <f t="shared" si="55"/>
        <v>0</v>
      </c>
      <c r="Q114">
        <f t="shared" si="76"/>
        <v>0</v>
      </c>
      <c r="R114" s="23">
        <v>4.4716666666666685</v>
      </c>
      <c r="S114" s="9">
        <f t="shared" si="66"/>
        <v>53.660000000000032</v>
      </c>
      <c r="T114" s="21">
        <f t="shared" si="56"/>
        <v>0</v>
      </c>
      <c r="U114" s="9">
        <f t="shared" si="57"/>
        <v>6.9716666666666685</v>
      </c>
      <c r="V114" s="10">
        <f t="shared" si="77"/>
        <v>83.660000000000025</v>
      </c>
      <c r="W114">
        <f t="shared" si="58"/>
        <v>-5.6216666666666679</v>
      </c>
      <c r="X114" s="9">
        <f t="shared" si="78"/>
        <v>0</v>
      </c>
      <c r="Y114" s="9">
        <f t="shared" si="67"/>
        <v>12.878333333333332</v>
      </c>
      <c r="Z114" s="9">
        <f t="shared" si="68"/>
        <v>18.5</v>
      </c>
      <c r="AA114" s="10">
        <f t="shared" si="69"/>
        <v>18.5</v>
      </c>
      <c r="AB114" s="10">
        <f t="shared" si="70"/>
        <v>18.5</v>
      </c>
      <c r="AC114">
        <f t="shared" si="59"/>
        <v>0</v>
      </c>
      <c r="AD114">
        <f t="shared" si="60"/>
        <v>0</v>
      </c>
      <c r="AE114" s="11">
        <f t="shared" si="79"/>
        <v>0</v>
      </c>
      <c r="AF114">
        <f t="shared" si="61"/>
        <v>0</v>
      </c>
      <c r="AG114">
        <f t="shared" si="71"/>
        <v>0</v>
      </c>
      <c r="AH114" s="12">
        <f t="shared" si="80"/>
        <v>0</v>
      </c>
      <c r="AI114">
        <f t="shared" si="62"/>
        <v>-5.6216666666666679</v>
      </c>
      <c r="AJ114" s="11">
        <f t="shared" si="81"/>
        <v>0</v>
      </c>
      <c r="AK114">
        <f t="shared" si="63"/>
        <v>-5.6216666666666679</v>
      </c>
      <c r="AL114" s="12">
        <f t="shared" si="82"/>
        <v>0</v>
      </c>
    </row>
    <row r="115" spans="3:38" x14ac:dyDescent="0.2">
      <c r="W115">
        <f>SUM(W103:W114)</f>
        <v>0</v>
      </c>
      <c r="Y115">
        <f t="shared" si="67"/>
        <v>18.5</v>
      </c>
      <c r="AD115">
        <v>5.75</v>
      </c>
      <c r="AG115">
        <f>SUM(AG103:AG114)</f>
        <v>0</v>
      </c>
      <c r="AI115">
        <f>SUM(AI103:AI114)</f>
        <v>0</v>
      </c>
      <c r="AK115">
        <f>SUM(AK103:AK114)</f>
        <v>0</v>
      </c>
    </row>
    <row r="120" spans="3:38" x14ac:dyDescent="0.2">
      <c r="E120" s="7" t="s">
        <v>68</v>
      </c>
      <c r="F120" s="7" t="s">
        <v>69</v>
      </c>
      <c r="G120" s="7" t="s">
        <v>70</v>
      </c>
      <c r="H120" s="7" t="s">
        <v>71</v>
      </c>
      <c r="I120" s="7" t="s">
        <v>72</v>
      </c>
      <c r="J120" s="13" t="s">
        <v>60</v>
      </c>
      <c r="K120" s="13" t="s">
        <v>22</v>
      </c>
      <c r="R120" s="18" t="s">
        <v>93</v>
      </c>
    </row>
    <row r="121" spans="3:38" x14ac:dyDescent="0.2">
      <c r="D121" t="s">
        <v>18</v>
      </c>
      <c r="E121" s="9">
        <f>I103</f>
        <v>2.0800000000000005</v>
      </c>
      <c r="F121" s="9">
        <f>V103</f>
        <v>6.9716666666666685</v>
      </c>
      <c r="G121" s="9">
        <f>AA103</f>
        <v>13.608333333333333</v>
      </c>
      <c r="H121">
        <f>AE103</f>
        <v>0</v>
      </c>
      <c r="I121" s="9">
        <f>AJ103</f>
        <v>-4.8916666666666675</v>
      </c>
      <c r="J121">
        <f>$O$7</f>
        <v>74</v>
      </c>
      <c r="K121">
        <f>$O$9</f>
        <v>18.5</v>
      </c>
      <c r="R121">
        <v>0</v>
      </c>
    </row>
    <row r="122" spans="3:38" x14ac:dyDescent="0.2">
      <c r="D122" t="s">
        <v>20</v>
      </c>
      <c r="E122" s="9">
        <f t="shared" ref="E122:E132" si="84">I104</f>
        <v>9.9400000000000013</v>
      </c>
      <c r="F122" s="9">
        <f t="shared" ref="F122:F132" si="85">V104</f>
        <v>13.943333333333337</v>
      </c>
      <c r="G122" s="9">
        <f t="shared" ref="G122:G132" si="86">AA104</f>
        <v>14.496666666666666</v>
      </c>
      <c r="H122">
        <f t="shared" ref="H122:H132" si="87">AE104</f>
        <v>0</v>
      </c>
      <c r="I122" s="9">
        <f t="shared" ref="I122:I132" si="88">AJ104</f>
        <v>-4.0033333333333347</v>
      </c>
      <c r="J122">
        <f t="shared" ref="J122:J132" si="89">$O$7</f>
        <v>74</v>
      </c>
      <c r="K122">
        <f t="shared" ref="K122:K132" si="90">$O$9</f>
        <v>18.5</v>
      </c>
      <c r="R122">
        <v>0</v>
      </c>
    </row>
    <row r="123" spans="3:38" x14ac:dyDescent="0.2">
      <c r="D123" t="s">
        <v>23</v>
      </c>
      <c r="E123" s="9">
        <f t="shared" si="84"/>
        <v>22.89</v>
      </c>
      <c r="F123" s="9">
        <f t="shared" si="85"/>
        <v>20.915000000000006</v>
      </c>
      <c r="G123" s="9">
        <f t="shared" si="86"/>
        <v>20.474999999999998</v>
      </c>
      <c r="H123">
        <f t="shared" si="87"/>
        <v>0</v>
      </c>
      <c r="I123" s="9">
        <f t="shared" si="88"/>
        <v>1.9749999999999979</v>
      </c>
      <c r="J123">
        <f t="shared" si="89"/>
        <v>74</v>
      </c>
      <c r="K123">
        <f t="shared" si="90"/>
        <v>18.5</v>
      </c>
      <c r="R123">
        <v>0</v>
      </c>
    </row>
    <row r="124" spans="3:38" x14ac:dyDescent="0.2">
      <c r="D124" t="s">
        <v>25</v>
      </c>
      <c r="E124" s="9">
        <f t="shared" si="84"/>
        <v>37.21</v>
      </c>
      <c r="F124" s="9">
        <f t="shared" si="85"/>
        <v>27.886666666666674</v>
      </c>
      <c r="G124" s="9">
        <f t="shared" si="86"/>
        <v>27.823333333333331</v>
      </c>
      <c r="H124">
        <f t="shared" si="87"/>
        <v>0</v>
      </c>
      <c r="I124" s="9">
        <f t="shared" si="88"/>
        <v>9.3233333333333306</v>
      </c>
      <c r="J124">
        <f t="shared" si="89"/>
        <v>74</v>
      </c>
      <c r="K124">
        <f t="shared" si="90"/>
        <v>18.5</v>
      </c>
      <c r="M124" s="8" t="s">
        <v>61</v>
      </c>
      <c r="N124" s="8" t="s">
        <v>62</v>
      </c>
      <c r="O124" s="8" t="s">
        <v>19</v>
      </c>
      <c r="R124">
        <v>0</v>
      </c>
    </row>
    <row r="125" spans="3:38" x14ac:dyDescent="0.2">
      <c r="D125" t="s">
        <v>27</v>
      </c>
      <c r="E125" s="9">
        <f t="shared" si="84"/>
        <v>51.370000000000005</v>
      </c>
      <c r="F125" s="9">
        <f t="shared" si="85"/>
        <v>34.858333333333341</v>
      </c>
      <c r="G125" s="9">
        <f t="shared" si="86"/>
        <v>35.01166666666667</v>
      </c>
      <c r="H125">
        <f t="shared" si="87"/>
        <v>0</v>
      </c>
      <c r="I125" s="9">
        <f t="shared" si="88"/>
        <v>16.511666666666667</v>
      </c>
      <c r="J125">
        <f t="shared" si="89"/>
        <v>74</v>
      </c>
      <c r="K125">
        <f t="shared" si="90"/>
        <v>18.5</v>
      </c>
      <c r="R125">
        <v>0</v>
      </c>
    </row>
    <row r="126" spans="3:38" x14ac:dyDescent="0.2">
      <c r="D126" t="s">
        <v>29</v>
      </c>
      <c r="E126" s="9">
        <f t="shared" si="84"/>
        <v>66.690000000000012</v>
      </c>
      <c r="F126" s="9">
        <f t="shared" si="85"/>
        <v>41.830000000000013</v>
      </c>
      <c r="G126" s="9">
        <f t="shared" si="86"/>
        <v>43.36</v>
      </c>
      <c r="H126">
        <f t="shared" si="87"/>
        <v>0</v>
      </c>
      <c r="I126" s="9">
        <f t="shared" si="88"/>
        <v>24.860000000000003</v>
      </c>
      <c r="J126">
        <f t="shared" si="89"/>
        <v>74</v>
      </c>
      <c r="K126">
        <f t="shared" si="90"/>
        <v>18.5</v>
      </c>
      <c r="M126" s="15" t="s">
        <v>88</v>
      </c>
      <c r="N126" s="11">
        <f>H57+I57</f>
        <v>53.660000000000018</v>
      </c>
      <c r="O126" s="8" t="s">
        <v>4</v>
      </c>
      <c r="R126">
        <v>0</v>
      </c>
      <c r="T126" s="17" t="s">
        <v>90</v>
      </c>
      <c r="U126" s="18">
        <v>6</v>
      </c>
    </row>
    <row r="127" spans="3:38" x14ac:dyDescent="0.2">
      <c r="D127" t="s">
        <v>31</v>
      </c>
      <c r="E127" s="9">
        <f t="shared" si="84"/>
        <v>73.54000000000002</v>
      </c>
      <c r="F127" s="9">
        <f t="shared" si="85"/>
        <v>48.801666666666684</v>
      </c>
      <c r="G127" s="9">
        <f t="shared" si="86"/>
        <v>43.238333333333337</v>
      </c>
      <c r="H127">
        <f t="shared" si="87"/>
        <v>0</v>
      </c>
      <c r="I127" s="9">
        <f t="shared" si="88"/>
        <v>24.738333333333337</v>
      </c>
      <c r="J127">
        <f t="shared" si="89"/>
        <v>74</v>
      </c>
      <c r="K127">
        <f t="shared" si="90"/>
        <v>18.5</v>
      </c>
      <c r="M127" s="5" t="s">
        <v>92</v>
      </c>
      <c r="N127">
        <v>1</v>
      </c>
      <c r="R127" s="25">
        <f t="shared" ref="R127:R132" si="91">$N$127*$N$126/$U$126</f>
        <v>8.9433333333333369</v>
      </c>
    </row>
    <row r="128" spans="3:38" x14ac:dyDescent="0.2">
      <c r="D128" t="s">
        <v>33</v>
      </c>
      <c r="E128" s="9">
        <f t="shared" si="84"/>
        <v>77.440000000000026</v>
      </c>
      <c r="F128" s="9">
        <f t="shared" si="85"/>
        <v>55.773333333333355</v>
      </c>
      <c r="G128" s="9">
        <f t="shared" si="86"/>
        <v>40.166666666666671</v>
      </c>
      <c r="H128">
        <f t="shared" si="87"/>
        <v>0</v>
      </c>
      <c r="I128" s="9">
        <f t="shared" si="88"/>
        <v>21.666666666666668</v>
      </c>
      <c r="J128">
        <f t="shared" si="89"/>
        <v>74</v>
      </c>
      <c r="K128">
        <f t="shared" si="90"/>
        <v>18.5</v>
      </c>
      <c r="R128" s="25">
        <f t="shared" si="91"/>
        <v>8.9433333333333369</v>
      </c>
    </row>
    <row r="129" spans="4:21" x14ac:dyDescent="0.2">
      <c r="D129" t="s">
        <v>35</v>
      </c>
      <c r="E129" s="9">
        <f t="shared" si="84"/>
        <v>79.750000000000028</v>
      </c>
      <c r="F129" s="9">
        <f t="shared" si="85"/>
        <v>62.745000000000026</v>
      </c>
      <c r="G129" s="9">
        <f t="shared" si="86"/>
        <v>35.504999999999995</v>
      </c>
      <c r="H129">
        <f t="shared" si="87"/>
        <v>0</v>
      </c>
      <c r="I129" s="9">
        <f t="shared" si="88"/>
        <v>17.004999999999999</v>
      </c>
      <c r="J129">
        <f t="shared" si="89"/>
        <v>74</v>
      </c>
      <c r="K129">
        <f t="shared" si="90"/>
        <v>18.5</v>
      </c>
      <c r="R129" s="25">
        <f t="shared" si="91"/>
        <v>8.9433333333333369</v>
      </c>
    </row>
    <row r="130" spans="4:21" x14ac:dyDescent="0.2">
      <c r="D130" t="s">
        <v>36</v>
      </c>
      <c r="E130" s="9">
        <f t="shared" si="84"/>
        <v>81.210000000000022</v>
      </c>
      <c r="F130" s="9">
        <f t="shared" si="85"/>
        <v>69.716666666666697</v>
      </c>
      <c r="G130" s="9">
        <f t="shared" si="86"/>
        <v>29.993333333333332</v>
      </c>
      <c r="H130">
        <f t="shared" si="87"/>
        <v>0</v>
      </c>
      <c r="I130" s="9">
        <f t="shared" si="88"/>
        <v>11.493333333333331</v>
      </c>
      <c r="J130">
        <f t="shared" si="89"/>
        <v>74</v>
      </c>
      <c r="K130">
        <f t="shared" si="90"/>
        <v>18.5</v>
      </c>
      <c r="R130" s="25">
        <f t="shared" si="91"/>
        <v>8.9433333333333369</v>
      </c>
    </row>
    <row r="131" spans="4:21" x14ac:dyDescent="0.2">
      <c r="D131" t="s">
        <v>37</v>
      </c>
      <c r="E131" s="9">
        <f t="shared" si="84"/>
        <v>82.310000000000016</v>
      </c>
      <c r="F131" s="9">
        <f t="shared" si="85"/>
        <v>76.688333333333361</v>
      </c>
      <c r="G131" s="9">
        <f t="shared" si="86"/>
        <v>24.121666666666663</v>
      </c>
      <c r="H131">
        <f t="shared" si="87"/>
        <v>0</v>
      </c>
      <c r="I131" s="9">
        <f t="shared" si="88"/>
        <v>5.6216666666666626</v>
      </c>
      <c r="J131">
        <f t="shared" si="89"/>
        <v>74</v>
      </c>
      <c r="K131">
        <f t="shared" si="90"/>
        <v>18.5</v>
      </c>
      <c r="R131" s="25">
        <f t="shared" si="91"/>
        <v>8.9433333333333369</v>
      </c>
    </row>
    <row r="132" spans="4:21" x14ac:dyDescent="0.2">
      <c r="D132" t="s">
        <v>38</v>
      </c>
      <c r="E132" s="9">
        <f t="shared" si="84"/>
        <v>83.660000000000011</v>
      </c>
      <c r="F132" s="9">
        <f t="shared" si="85"/>
        <v>83.660000000000025</v>
      </c>
      <c r="G132" s="9">
        <f t="shared" si="86"/>
        <v>18.5</v>
      </c>
      <c r="H132">
        <f t="shared" si="87"/>
        <v>0</v>
      </c>
      <c r="I132" s="9">
        <f t="shared" si="88"/>
        <v>0</v>
      </c>
      <c r="J132">
        <f t="shared" si="89"/>
        <v>74</v>
      </c>
      <c r="K132">
        <f t="shared" si="90"/>
        <v>18.5</v>
      </c>
      <c r="R132" s="25">
        <f t="shared" si="91"/>
        <v>8.9433333333333369</v>
      </c>
    </row>
    <row r="133" spans="4:21" x14ac:dyDescent="0.2">
      <c r="R133" s="20">
        <f>SUM(R121:R132)</f>
        <v>53.660000000000018</v>
      </c>
    </row>
    <row r="135" spans="4:21" x14ac:dyDescent="0.2">
      <c r="E135" s="7" t="s">
        <v>68</v>
      </c>
      <c r="F135" s="7" t="s">
        <v>69</v>
      </c>
      <c r="G135" s="7" t="s">
        <v>73</v>
      </c>
      <c r="H135" s="7" t="s">
        <v>74</v>
      </c>
      <c r="I135" s="7" t="s">
        <v>76</v>
      </c>
      <c r="J135" s="13" t="s">
        <v>60</v>
      </c>
      <c r="K135" s="13" t="s">
        <v>22</v>
      </c>
      <c r="R135" s="19" t="s">
        <v>93</v>
      </c>
    </row>
    <row r="136" spans="4:21" x14ac:dyDescent="0.2">
      <c r="D136" t="s">
        <v>18</v>
      </c>
      <c r="E136">
        <f>I29</f>
        <v>2.0800000000000005</v>
      </c>
      <c r="F136" s="9">
        <f>V103</f>
        <v>6.9716666666666685</v>
      </c>
      <c r="G136" s="9">
        <f>AB103</f>
        <v>13.608333333333333</v>
      </c>
      <c r="H136">
        <f>AH103</f>
        <v>0</v>
      </c>
      <c r="I136" s="9">
        <f>AL103</f>
        <v>-4.8916666666666675</v>
      </c>
      <c r="J136">
        <f>$O$8</f>
        <v>47</v>
      </c>
      <c r="K136">
        <f>$O$9</f>
        <v>18.5</v>
      </c>
      <c r="M136" s="8" t="s">
        <v>63</v>
      </c>
      <c r="N136" s="8" t="s">
        <v>64</v>
      </c>
      <c r="O136" s="8" t="s">
        <v>65</v>
      </c>
      <c r="R136" s="24">
        <f>$N$139*$N$138/$U$140</f>
        <v>4.4716666666666685</v>
      </c>
    </row>
    <row r="137" spans="4:21" x14ac:dyDescent="0.2">
      <c r="D137" t="s">
        <v>20</v>
      </c>
      <c r="E137">
        <f t="shared" ref="E137:E147" si="92">I30</f>
        <v>9.9400000000000013</v>
      </c>
      <c r="F137" s="9">
        <f t="shared" ref="F137:F147" si="93">V104</f>
        <v>13.943333333333337</v>
      </c>
      <c r="G137" s="9">
        <f t="shared" ref="G137:G147" si="94">AB104</f>
        <v>14.496666666666666</v>
      </c>
      <c r="H137">
        <f t="shared" ref="H137:H147" si="95">AH104</f>
        <v>0</v>
      </c>
      <c r="I137" s="9">
        <f t="shared" ref="I137:I147" si="96">AL104</f>
        <v>-4.0033333333333347</v>
      </c>
      <c r="J137">
        <f t="shared" ref="J137:J147" si="97">$O$8</f>
        <v>47</v>
      </c>
      <c r="K137">
        <f t="shared" ref="K137:K147" si="98">$O$9</f>
        <v>18.5</v>
      </c>
      <c r="R137" s="24">
        <f t="shared" ref="R137:R147" si="99">$N$139*$N$138/$U$140</f>
        <v>4.4716666666666685</v>
      </c>
    </row>
    <row r="138" spans="4:21" x14ac:dyDescent="0.2">
      <c r="D138" t="s">
        <v>23</v>
      </c>
      <c r="E138">
        <f t="shared" si="92"/>
        <v>22.89</v>
      </c>
      <c r="F138" s="9">
        <f t="shared" si="93"/>
        <v>20.915000000000006</v>
      </c>
      <c r="G138" s="9">
        <f t="shared" si="94"/>
        <v>20.474999999999998</v>
      </c>
      <c r="H138">
        <f t="shared" si="95"/>
        <v>0</v>
      </c>
      <c r="I138" s="9">
        <f t="shared" si="96"/>
        <v>1.9749999999999979</v>
      </c>
      <c r="J138">
        <f t="shared" si="97"/>
        <v>47</v>
      </c>
      <c r="K138">
        <f t="shared" si="98"/>
        <v>18.5</v>
      </c>
      <c r="M138" s="16" t="s">
        <v>89</v>
      </c>
      <c r="N138" s="12">
        <f>H72+I72</f>
        <v>53.660000000000018</v>
      </c>
      <c r="O138" s="14" t="s">
        <v>4</v>
      </c>
      <c r="R138" s="24">
        <f t="shared" si="99"/>
        <v>4.4716666666666685</v>
      </c>
    </row>
    <row r="139" spans="4:21" x14ac:dyDescent="0.2">
      <c r="D139" t="s">
        <v>25</v>
      </c>
      <c r="E139">
        <f t="shared" si="92"/>
        <v>37.21</v>
      </c>
      <c r="F139" s="9">
        <f t="shared" si="93"/>
        <v>27.886666666666674</v>
      </c>
      <c r="G139" s="9">
        <f t="shared" si="94"/>
        <v>27.823333333333331</v>
      </c>
      <c r="H139">
        <f t="shared" si="95"/>
        <v>0</v>
      </c>
      <c r="I139" s="9">
        <f t="shared" si="96"/>
        <v>9.3233333333333306</v>
      </c>
      <c r="J139">
        <f t="shared" si="97"/>
        <v>47</v>
      </c>
      <c r="K139">
        <f t="shared" si="98"/>
        <v>18.5</v>
      </c>
      <c r="M139" s="5" t="s">
        <v>92</v>
      </c>
      <c r="N139">
        <v>1</v>
      </c>
      <c r="R139" s="24">
        <f t="shared" si="99"/>
        <v>4.4716666666666685</v>
      </c>
    </row>
    <row r="140" spans="4:21" x14ac:dyDescent="0.2">
      <c r="D140" t="s">
        <v>27</v>
      </c>
      <c r="E140">
        <f t="shared" si="92"/>
        <v>51.370000000000005</v>
      </c>
      <c r="F140" s="9">
        <f t="shared" si="93"/>
        <v>34.858333333333341</v>
      </c>
      <c r="G140" s="9">
        <f t="shared" si="94"/>
        <v>35.01166666666667</v>
      </c>
      <c r="H140">
        <f t="shared" si="95"/>
        <v>0</v>
      </c>
      <c r="I140" s="9">
        <f t="shared" si="96"/>
        <v>16.511666666666667</v>
      </c>
      <c r="J140">
        <f t="shared" si="97"/>
        <v>47</v>
      </c>
      <c r="K140">
        <f t="shared" si="98"/>
        <v>18.5</v>
      </c>
      <c r="R140" s="24">
        <f t="shared" si="99"/>
        <v>4.4716666666666685</v>
      </c>
      <c r="T140" s="17" t="s">
        <v>91</v>
      </c>
      <c r="U140" s="18">
        <v>12</v>
      </c>
    </row>
    <row r="141" spans="4:21" x14ac:dyDescent="0.2">
      <c r="D141" t="s">
        <v>29</v>
      </c>
      <c r="E141">
        <f t="shared" si="92"/>
        <v>66.690000000000012</v>
      </c>
      <c r="F141" s="9">
        <f t="shared" si="93"/>
        <v>41.830000000000013</v>
      </c>
      <c r="G141" s="9">
        <f t="shared" si="94"/>
        <v>43.36</v>
      </c>
      <c r="H141">
        <f t="shared" si="95"/>
        <v>0</v>
      </c>
      <c r="I141" s="9">
        <f t="shared" si="96"/>
        <v>24.860000000000003</v>
      </c>
      <c r="J141">
        <f t="shared" si="97"/>
        <v>47</v>
      </c>
      <c r="K141">
        <f t="shared" si="98"/>
        <v>18.5</v>
      </c>
      <c r="R141" s="24">
        <f t="shared" si="99"/>
        <v>4.4716666666666685</v>
      </c>
    </row>
    <row r="142" spans="4:21" x14ac:dyDescent="0.2">
      <c r="D142" t="s">
        <v>31</v>
      </c>
      <c r="E142">
        <f t="shared" si="92"/>
        <v>73.54000000000002</v>
      </c>
      <c r="F142" s="9">
        <f t="shared" si="93"/>
        <v>48.801666666666684</v>
      </c>
      <c r="G142" s="9">
        <f t="shared" si="94"/>
        <v>43.238333333333337</v>
      </c>
      <c r="H142">
        <f t="shared" si="95"/>
        <v>0</v>
      </c>
      <c r="I142" s="9">
        <f t="shared" si="96"/>
        <v>24.738333333333337</v>
      </c>
      <c r="J142">
        <f t="shared" si="97"/>
        <v>47</v>
      </c>
      <c r="K142">
        <f t="shared" si="98"/>
        <v>18.5</v>
      </c>
      <c r="R142" s="24">
        <f t="shared" si="99"/>
        <v>4.4716666666666685</v>
      </c>
    </row>
    <row r="143" spans="4:21" x14ac:dyDescent="0.2">
      <c r="D143" t="s">
        <v>33</v>
      </c>
      <c r="E143">
        <f t="shared" si="92"/>
        <v>77.440000000000026</v>
      </c>
      <c r="F143" s="9">
        <f t="shared" si="93"/>
        <v>55.773333333333355</v>
      </c>
      <c r="G143" s="9">
        <f t="shared" si="94"/>
        <v>40.166666666666671</v>
      </c>
      <c r="H143">
        <f t="shared" si="95"/>
        <v>0</v>
      </c>
      <c r="I143" s="9">
        <f t="shared" si="96"/>
        <v>21.666666666666668</v>
      </c>
      <c r="J143">
        <f t="shared" si="97"/>
        <v>47</v>
      </c>
      <c r="K143">
        <f t="shared" si="98"/>
        <v>18.5</v>
      </c>
      <c r="R143" s="24">
        <f t="shared" si="99"/>
        <v>4.4716666666666685</v>
      </c>
    </row>
    <row r="144" spans="4:21" x14ac:dyDescent="0.2">
      <c r="D144" t="s">
        <v>35</v>
      </c>
      <c r="E144">
        <f t="shared" si="92"/>
        <v>79.750000000000028</v>
      </c>
      <c r="F144" s="9">
        <f t="shared" si="93"/>
        <v>62.745000000000026</v>
      </c>
      <c r="G144" s="9">
        <f t="shared" si="94"/>
        <v>35.504999999999995</v>
      </c>
      <c r="H144">
        <f t="shared" si="95"/>
        <v>0</v>
      </c>
      <c r="I144" s="9">
        <f t="shared" si="96"/>
        <v>17.004999999999999</v>
      </c>
      <c r="J144">
        <f t="shared" si="97"/>
        <v>47</v>
      </c>
      <c r="K144">
        <f t="shared" si="98"/>
        <v>18.5</v>
      </c>
      <c r="R144" s="24">
        <f t="shared" si="99"/>
        <v>4.4716666666666685</v>
      </c>
    </row>
    <row r="145" spans="4:18" x14ac:dyDescent="0.2">
      <c r="D145" t="s">
        <v>36</v>
      </c>
      <c r="E145">
        <f t="shared" si="92"/>
        <v>81.210000000000022</v>
      </c>
      <c r="F145" s="9">
        <f t="shared" si="93"/>
        <v>69.716666666666697</v>
      </c>
      <c r="G145" s="9">
        <f t="shared" si="94"/>
        <v>29.993333333333332</v>
      </c>
      <c r="H145">
        <f t="shared" si="95"/>
        <v>0</v>
      </c>
      <c r="I145" s="9">
        <f t="shared" si="96"/>
        <v>11.493333333333331</v>
      </c>
      <c r="J145">
        <f t="shared" si="97"/>
        <v>47</v>
      </c>
      <c r="K145">
        <f t="shared" si="98"/>
        <v>18.5</v>
      </c>
      <c r="R145" s="24">
        <f t="shared" si="99"/>
        <v>4.4716666666666685</v>
      </c>
    </row>
    <row r="146" spans="4:18" x14ac:dyDescent="0.2">
      <c r="D146" t="s">
        <v>37</v>
      </c>
      <c r="E146">
        <f t="shared" si="92"/>
        <v>82.310000000000016</v>
      </c>
      <c r="F146" s="9">
        <f t="shared" si="93"/>
        <v>76.688333333333361</v>
      </c>
      <c r="G146" s="9">
        <f t="shared" si="94"/>
        <v>24.121666666666663</v>
      </c>
      <c r="H146">
        <f t="shared" si="95"/>
        <v>0</v>
      </c>
      <c r="I146" s="9">
        <f t="shared" si="96"/>
        <v>5.6216666666666626</v>
      </c>
      <c r="J146">
        <f t="shared" si="97"/>
        <v>47</v>
      </c>
      <c r="K146">
        <f t="shared" si="98"/>
        <v>18.5</v>
      </c>
      <c r="R146" s="24">
        <f t="shared" si="99"/>
        <v>4.4716666666666685</v>
      </c>
    </row>
    <row r="147" spans="4:18" x14ac:dyDescent="0.2">
      <c r="D147" t="s">
        <v>38</v>
      </c>
      <c r="E147">
        <f t="shared" si="92"/>
        <v>83.660000000000011</v>
      </c>
      <c r="F147" s="9">
        <f t="shared" si="93"/>
        <v>83.660000000000025</v>
      </c>
      <c r="G147" s="9">
        <f t="shared" si="94"/>
        <v>18.5</v>
      </c>
      <c r="H147">
        <f t="shared" si="95"/>
        <v>0</v>
      </c>
      <c r="I147" s="9">
        <f t="shared" si="96"/>
        <v>0</v>
      </c>
      <c r="J147">
        <f t="shared" si="97"/>
        <v>47</v>
      </c>
      <c r="K147">
        <f t="shared" si="98"/>
        <v>18.5</v>
      </c>
      <c r="R147" s="24">
        <f t="shared" si="99"/>
        <v>4.4716666666666685</v>
      </c>
    </row>
    <row r="148" spans="4:18" x14ac:dyDescent="0.2">
      <c r="R148" s="22"/>
    </row>
  </sheetData>
  <pageMargins left="0.7" right="0.7" top="0.75" bottom="0.75" header="0.3" footer="0.3"/>
  <pageSetup paperSize="9" orientation="portrait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michele Di natale</dc:creator>
  <cp:lastModifiedBy>PAOLO PALMIERO</cp:lastModifiedBy>
  <dcterms:created xsi:type="dcterms:W3CDTF">2024-08-12T09:15:00Z</dcterms:created>
  <dcterms:modified xsi:type="dcterms:W3CDTF">2024-10-25T10:26:54Z</dcterms:modified>
</cp:coreProperties>
</file>